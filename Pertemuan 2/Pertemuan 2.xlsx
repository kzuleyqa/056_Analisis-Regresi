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5563013cbdc4d3/Documents/Kuliah/Semester 4/ANREG/"/>
    </mc:Choice>
  </mc:AlternateContent>
  <xr:revisionPtr revIDLastSave="0" documentId="8_{C772AF45-68C2-45A7-BEBD-62A327A6458B}" xr6:coauthVersionLast="47" xr6:coauthVersionMax="47" xr10:uidLastSave="{00000000-0000-0000-0000-000000000000}"/>
  <bookViews>
    <workbookView xWindow="-110" yWindow="-110" windowWidth="19420" windowHeight="11500" xr2:uid="{520803A1-D1D9-4180-BB98-B6FCD4937956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2" i="1" l="1"/>
  <c r="B122" i="1"/>
  <c r="I120" i="1"/>
  <c r="H120" i="1"/>
  <c r="F120" i="1"/>
  <c r="E120" i="1"/>
  <c r="I119" i="1"/>
  <c r="H119" i="1"/>
  <c r="F119" i="1"/>
  <c r="E119" i="1"/>
  <c r="I118" i="1"/>
  <c r="H118" i="1"/>
  <c r="F118" i="1"/>
  <c r="E118" i="1"/>
  <c r="I117" i="1"/>
  <c r="H117" i="1"/>
  <c r="F117" i="1"/>
  <c r="E117" i="1"/>
  <c r="I116" i="1"/>
  <c r="H116" i="1"/>
  <c r="F116" i="1"/>
  <c r="E116" i="1"/>
  <c r="I115" i="1"/>
  <c r="H115" i="1"/>
  <c r="F115" i="1"/>
  <c r="E115" i="1"/>
  <c r="I114" i="1"/>
  <c r="H114" i="1"/>
  <c r="F114" i="1"/>
  <c r="E114" i="1"/>
  <c r="I113" i="1"/>
  <c r="H113" i="1"/>
  <c r="F113" i="1"/>
  <c r="E113" i="1"/>
  <c r="I112" i="1"/>
  <c r="H112" i="1"/>
  <c r="F112" i="1"/>
  <c r="E112" i="1"/>
  <c r="I111" i="1"/>
  <c r="H111" i="1"/>
  <c r="F111" i="1"/>
  <c r="E111" i="1"/>
  <c r="I110" i="1"/>
  <c r="H110" i="1"/>
  <c r="F110" i="1"/>
  <c r="E110" i="1"/>
  <c r="I109" i="1"/>
  <c r="H109" i="1"/>
  <c r="F109" i="1"/>
  <c r="E109" i="1"/>
  <c r="I108" i="1"/>
  <c r="H108" i="1"/>
  <c r="F108" i="1"/>
  <c r="E108" i="1"/>
  <c r="I107" i="1"/>
  <c r="H107" i="1"/>
  <c r="F107" i="1"/>
  <c r="E107" i="1"/>
  <c r="I106" i="1"/>
  <c r="H106" i="1"/>
  <c r="F106" i="1"/>
  <c r="E106" i="1"/>
  <c r="I105" i="1"/>
  <c r="H105" i="1"/>
  <c r="F105" i="1"/>
  <c r="E105" i="1"/>
  <c r="I104" i="1"/>
  <c r="H104" i="1"/>
  <c r="F104" i="1"/>
  <c r="E104" i="1"/>
  <c r="I103" i="1"/>
  <c r="H103" i="1"/>
  <c r="F103" i="1"/>
  <c r="E103" i="1"/>
  <c r="I102" i="1"/>
  <c r="H102" i="1"/>
  <c r="F102" i="1"/>
  <c r="E102" i="1"/>
  <c r="I101" i="1"/>
  <c r="H101" i="1"/>
  <c r="F101" i="1"/>
  <c r="E101" i="1"/>
  <c r="I100" i="1"/>
  <c r="H100" i="1"/>
  <c r="F100" i="1"/>
  <c r="E100" i="1"/>
  <c r="I99" i="1"/>
  <c r="H99" i="1"/>
  <c r="F99" i="1"/>
  <c r="E99" i="1"/>
  <c r="I98" i="1"/>
  <c r="H98" i="1"/>
  <c r="F98" i="1"/>
  <c r="E98" i="1"/>
  <c r="I97" i="1"/>
  <c r="H97" i="1"/>
  <c r="F97" i="1"/>
  <c r="E97" i="1"/>
  <c r="I96" i="1"/>
  <c r="H96" i="1"/>
  <c r="F96" i="1"/>
  <c r="E96" i="1"/>
  <c r="I95" i="1"/>
  <c r="H95" i="1"/>
  <c r="F95" i="1"/>
  <c r="E95" i="1"/>
  <c r="I94" i="1"/>
  <c r="H94" i="1"/>
  <c r="F94" i="1"/>
  <c r="E94" i="1"/>
  <c r="I93" i="1"/>
  <c r="H93" i="1"/>
  <c r="F93" i="1"/>
  <c r="E93" i="1"/>
  <c r="I92" i="1"/>
  <c r="H92" i="1"/>
  <c r="F92" i="1"/>
  <c r="E92" i="1"/>
  <c r="I91" i="1"/>
  <c r="H91" i="1"/>
  <c r="F91" i="1"/>
  <c r="E91" i="1"/>
  <c r="I90" i="1"/>
  <c r="H90" i="1"/>
  <c r="F90" i="1"/>
  <c r="E90" i="1"/>
  <c r="I89" i="1"/>
  <c r="H89" i="1"/>
  <c r="F89" i="1"/>
  <c r="E89" i="1"/>
  <c r="I88" i="1"/>
  <c r="H88" i="1"/>
  <c r="F88" i="1"/>
  <c r="E88" i="1"/>
  <c r="I87" i="1"/>
  <c r="H87" i="1"/>
  <c r="F87" i="1"/>
  <c r="E87" i="1"/>
  <c r="I86" i="1"/>
  <c r="H86" i="1"/>
  <c r="F86" i="1"/>
  <c r="E86" i="1"/>
  <c r="I85" i="1"/>
  <c r="H85" i="1"/>
  <c r="F85" i="1"/>
  <c r="E85" i="1"/>
  <c r="I84" i="1"/>
  <c r="H84" i="1"/>
  <c r="F84" i="1"/>
  <c r="E84" i="1"/>
  <c r="I83" i="1"/>
  <c r="H83" i="1"/>
  <c r="F83" i="1"/>
  <c r="E83" i="1"/>
  <c r="I82" i="1"/>
  <c r="H82" i="1"/>
  <c r="F82" i="1"/>
  <c r="E82" i="1"/>
  <c r="I81" i="1"/>
  <c r="H81" i="1"/>
  <c r="F81" i="1"/>
  <c r="E81" i="1"/>
  <c r="I80" i="1"/>
  <c r="H80" i="1"/>
  <c r="F80" i="1"/>
  <c r="E80" i="1"/>
  <c r="I79" i="1"/>
  <c r="H79" i="1"/>
  <c r="F79" i="1"/>
  <c r="E79" i="1"/>
  <c r="I78" i="1"/>
  <c r="H78" i="1"/>
  <c r="F78" i="1"/>
  <c r="E78" i="1"/>
  <c r="I77" i="1"/>
  <c r="H77" i="1"/>
  <c r="F77" i="1"/>
  <c r="E77" i="1"/>
  <c r="I76" i="1"/>
  <c r="H76" i="1"/>
  <c r="F76" i="1"/>
  <c r="E76" i="1"/>
  <c r="I75" i="1"/>
  <c r="H75" i="1"/>
  <c r="F75" i="1"/>
  <c r="E75" i="1"/>
  <c r="I74" i="1"/>
  <c r="H74" i="1"/>
  <c r="F74" i="1"/>
  <c r="E74" i="1"/>
  <c r="I73" i="1"/>
  <c r="H73" i="1"/>
  <c r="F73" i="1"/>
  <c r="E73" i="1"/>
  <c r="I72" i="1"/>
  <c r="H72" i="1"/>
  <c r="F72" i="1"/>
  <c r="E72" i="1"/>
  <c r="I71" i="1"/>
  <c r="H71" i="1"/>
  <c r="F71" i="1"/>
  <c r="E71" i="1"/>
  <c r="I70" i="1"/>
  <c r="H70" i="1"/>
  <c r="F70" i="1"/>
  <c r="E70" i="1"/>
  <c r="I69" i="1"/>
  <c r="H69" i="1"/>
  <c r="F69" i="1"/>
  <c r="E69" i="1"/>
  <c r="I68" i="1"/>
  <c r="H68" i="1"/>
  <c r="F68" i="1"/>
  <c r="E68" i="1"/>
  <c r="I67" i="1"/>
  <c r="H67" i="1"/>
  <c r="F67" i="1"/>
  <c r="E67" i="1"/>
  <c r="I66" i="1"/>
  <c r="H66" i="1"/>
  <c r="F66" i="1"/>
  <c r="E66" i="1"/>
  <c r="I65" i="1"/>
  <c r="H65" i="1"/>
  <c r="F65" i="1"/>
  <c r="E65" i="1"/>
  <c r="I64" i="1"/>
  <c r="H64" i="1"/>
  <c r="F64" i="1"/>
  <c r="E64" i="1"/>
  <c r="I63" i="1"/>
  <c r="H63" i="1"/>
  <c r="F63" i="1"/>
  <c r="E63" i="1"/>
  <c r="I62" i="1"/>
  <c r="H62" i="1"/>
  <c r="F62" i="1"/>
  <c r="E62" i="1"/>
  <c r="I61" i="1"/>
  <c r="H61" i="1"/>
  <c r="F61" i="1"/>
  <c r="E61" i="1"/>
  <c r="I60" i="1"/>
  <c r="H60" i="1"/>
  <c r="F60" i="1"/>
  <c r="E60" i="1"/>
  <c r="I59" i="1"/>
  <c r="H59" i="1"/>
  <c r="F59" i="1"/>
  <c r="E59" i="1"/>
  <c r="I58" i="1"/>
  <c r="H58" i="1"/>
  <c r="F58" i="1"/>
  <c r="E58" i="1"/>
  <c r="I57" i="1"/>
  <c r="H57" i="1"/>
  <c r="F57" i="1"/>
  <c r="E57" i="1"/>
  <c r="I56" i="1"/>
  <c r="H56" i="1"/>
  <c r="F56" i="1"/>
  <c r="E56" i="1"/>
  <c r="I55" i="1"/>
  <c r="H55" i="1"/>
  <c r="F55" i="1"/>
  <c r="E55" i="1"/>
  <c r="I54" i="1"/>
  <c r="H54" i="1"/>
  <c r="F54" i="1"/>
  <c r="E54" i="1"/>
  <c r="I53" i="1"/>
  <c r="H53" i="1"/>
  <c r="F53" i="1"/>
  <c r="E53" i="1"/>
  <c r="I52" i="1"/>
  <c r="H52" i="1"/>
  <c r="F52" i="1"/>
  <c r="E52" i="1"/>
  <c r="I51" i="1"/>
  <c r="H51" i="1"/>
  <c r="F51" i="1"/>
  <c r="E51" i="1"/>
  <c r="I50" i="1"/>
  <c r="H50" i="1"/>
  <c r="F50" i="1"/>
  <c r="E50" i="1"/>
  <c r="I49" i="1"/>
  <c r="H49" i="1"/>
  <c r="F49" i="1"/>
  <c r="E49" i="1"/>
  <c r="I48" i="1"/>
  <c r="H48" i="1"/>
  <c r="F48" i="1"/>
  <c r="E48" i="1"/>
  <c r="I47" i="1"/>
  <c r="H47" i="1"/>
  <c r="F47" i="1"/>
  <c r="E47" i="1"/>
  <c r="I46" i="1"/>
  <c r="H46" i="1"/>
  <c r="F46" i="1"/>
  <c r="E46" i="1"/>
  <c r="I45" i="1"/>
  <c r="H45" i="1"/>
  <c r="F45" i="1"/>
  <c r="E45" i="1"/>
  <c r="I44" i="1"/>
  <c r="H44" i="1"/>
  <c r="F44" i="1"/>
  <c r="E44" i="1"/>
  <c r="I43" i="1"/>
  <c r="H43" i="1"/>
  <c r="F43" i="1"/>
  <c r="E43" i="1"/>
  <c r="I42" i="1"/>
  <c r="H42" i="1"/>
  <c r="F42" i="1"/>
  <c r="E42" i="1"/>
  <c r="I41" i="1"/>
  <c r="H41" i="1"/>
  <c r="F41" i="1"/>
  <c r="E41" i="1"/>
  <c r="I40" i="1"/>
  <c r="H40" i="1"/>
  <c r="F40" i="1"/>
  <c r="E40" i="1"/>
  <c r="I39" i="1"/>
  <c r="H39" i="1"/>
  <c r="F39" i="1"/>
  <c r="E39" i="1"/>
  <c r="I38" i="1"/>
  <c r="H38" i="1"/>
  <c r="F38" i="1"/>
  <c r="E38" i="1"/>
  <c r="I37" i="1"/>
  <c r="H37" i="1"/>
  <c r="F37" i="1"/>
  <c r="E37" i="1"/>
  <c r="I36" i="1"/>
  <c r="H36" i="1"/>
  <c r="F36" i="1"/>
  <c r="E36" i="1"/>
  <c r="I35" i="1"/>
  <c r="H35" i="1"/>
  <c r="F35" i="1"/>
  <c r="E35" i="1"/>
  <c r="I34" i="1"/>
  <c r="H34" i="1"/>
  <c r="F34" i="1"/>
  <c r="E34" i="1"/>
  <c r="I33" i="1"/>
  <c r="H33" i="1"/>
  <c r="F33" i="1"/>
  <c r="E33" i="1"/>
  <c r="I32" i="1"/>
  <c r="H32" i="1"/>
  <c r="F32" i="1"/>
  <c r="E32" i="1"/>
  <c r="I31" i="1"/>
  <c r="H31" i="1"/>
  <c r="F31" i="1"/>
  <c r="E31" i="1"/>
  <c r="I30" i="1"/>
  <c r="H30" i="1"/>
  <c r="F30" i="1"/>
  <c r="E30" i="1"/>
  <c r="I29" i="1"/>
  <c r="H29" i="1"/>
  <c r="F29" i="1"/>
  <c r="E29" i="1"/>
  <c r="I28" i="1"/>
  <c r="H28" i="1"/>
  <c r="F28" i="1"/>
  <c r="E28" i="1"/>
  <c r="I27" i="1"/>
  <c r="H27" i="1"/>
  <c r="F27" i="1"/>
  <c r="E27" i="1"/>
  <c r="I26" i="1"/>
  <c r="H26" i="1"/>
  <c r="F26" i="1"/>
  <c r="E26" i="1"/>
  <c r="I25" i="1"/>
  <c r="H25" i="1"/>
  <c r="F25" i="1"/>
  <c r="E25" i="1"/>
  <c r="I24" i="1"/>
  <c r="H24" i="1"/>
  <c r="F24" i="1"/>
  <c r="E24" i="1"/>
  <c r="I23" i="1"/>
  <c r="H23" i="1"/>
  <c r="F23" i="1"/>
  <c r="E23" i="1"/>
  <c r="I22" i="1"/>
  <c r="H22" i="1"/>
  <c r="F22" i="1"/>
  <c r="E22" i="1"/>
  <c r="I21" i="1"/>
  <c r="H21" i="1"/>
  <c r="F21" i="1"/>
  <c r="E21" i="1"/>
  <c r="I20" i="1"/>
  <c r="H20" i="1"/>
  <c r="F20" i="1"/>
  <c r="E20" i="1"/>
  <c r="I19" i="1"/>
  <c r="H19" i="1"/>
  <c r="F19" i="1"/>
  <c r="E19" i="1"/>
  <c r="I18" i="1"/>
  <c r="H18" i="1"/>
  <c r="F18" i="1"/>
  <c r="E18" i="1"/>
  <c r="I17" i="1"/>
  <c r="H17" i="1"/>
  <c r="F17" i="1"/>
  <c r="E17" i="1"/>
  <c r="I16" i="1"/>
  <c r="H16" i="1"/>
  <c r="F16" i="1"/>
  <c r="E16" i="1"/>
  <c r="I15" i="1"/>
  <c r="H15" i="1"/>
  <c r="F15" i="1"/>
  <c r="E15" i="1"/>
  <c r="I14" i="1"/>
  <c r="H14" i="1"/>
  <c r="F14" i="1"/>
  <c r="E14" i="1"/>
  <c r="I13" i="1"/>
  <c r="H13" i="1"/>
  <c r="F13" i="1"/>
  <c r="E13" i="1"/>
  <c r="I12" i="1"/>
  <c r="H12" i="1"/>
  <c r="F12" i="1"/>
  <c r="E12" i="1"/>
  <c r="I11" i="1"/>
  <c r="H11" i="1"/>
  <c r="F11" i="1"/>
  <c r="E11" i="1"/>
  <c r="I10" i="1"/>
  <c r="H10" i="1"/>
  <c r="F10" i="1"/>
  <c r="E10" i="1"/>
  <c r="I9" i="1"/>
  <c r="H9" i="1"/>
  <c r="F9" i="1"/>
  <c r="E9" i="1"/>
  <c r="I8" i="1"/>
  <c r="H8" i="1"/>
  <c r="F8" i="1"/>
  <c r="E8" i="1"/>
  <c r="I7" i="1"/>
  <c r="H7" i="1"/>
  <c r="F7" i="1"/>
  <c r="E7" i="1"/>
  <c r="I6" i="1"/>
  <c r="H6" i="1"/>
  <c r="F6" i="1"/>
  <c r="E6" i="1"/>
  <c r="I5" i="1"/>
  <c r="H5" i="1"/>
  <c r="F5" i="1"/>
  <c r="E5" i="1"/>
  <c r="I4" i="1"/>
  <c r="H4" i="1"/>
  <c r="F4" i="1"/>
  <c r="E4" i="1"/>
  <c r="I3" i="1"/>
  <c r="H3" i="1"/>
  <c r="F3" i="1"/>
  <c r="E3" i="1"/>
  <c r="I2" i="1"/>
  <c r="I122" i="1" s="1"/>
  <c r="H2" i="1"/>
  <c r="H122" i="1" s="1"/>
  <c r="F2" i="1"/>
  <c r="E2" i="1"/>
  <c r="L3" i="1" l="1"/>
  <c r="L2" i="1" s="1"/>
</calcChain>
</file>

<file path=xl/sharedStrings.xml><?xml version="1.0" encoding="utf-8"?>
<sst xmlns="http://schemas.openxmlformats.org/spreadsheetml/2006/main" count="156" uniqueCount="155">
  <si>
    <t>Kabupaten/Kota</t>
  </si>
  <si>
    <t>Indeks Pembangunan Manusia</t>
  </si>
  <si>
    <t>Pertumbuhan Ekonomi Sektor Industri Pengolahan</t>
  </si>
  <si>
    <t>y-ybar</t>
  </si>
  <si>
    <t>x-xbar</t>
  </si>
  <si>
    <t>(x-xbar)^2</t>
  </si>
  <si>
    <t>x kali y</t>
  </si>
  <si>
    <t>Kepulauan Seribu</t>
  </si>
  <si>
    <t>beta 0</t>
  </si>
  <si>
    <t>Kota Jakarta Selatan</t>
  </si>
  <si>
    <t>beta 1</t>
  </si>
  <si>
    <t>Kota Jakarta Timur</t>
  </si>
  <si>
    <t>Kota Jakarta Pusat</t>
  </si>
  <si>
    <t>SUMMARY OUTPUT</t>
  </si>
  <si>
    <t>Kota Jakarta Barat</t>
  </si>
  <si>
    <t>Kota Jakarta Utara</t>
  </si>
  <si>
    <t>Regression Statistics</t>
  </si>
  <si>
    <t>Bogor</t>
  </si>
  <si>
    <t>Multiple R</t>
  </si>
  <si>
    <t>Sukabumi</t>
  </si>
  <si>
    <t>R Square</t>
  </si>
  <si>
    <t>Cianjur</t>
  </si>
  <si>
    <t>Adjusted R Square</t>
  </si>
  <si>
    <t>Bandung</t>
  </si>
  <si>
    <t>Standard Error</t>
  </si>
  <si>
    <t>Garut</t>
  </si>
  <si>
    <t>Observations</t>
  </si>
  <si>
    <t>Tasikmalaya</t>
  </si>
  <si>
    <t>Ciamis</t>
  </si>
  <si>
    <t>ANOVA</t>
  </si>
  <si>
    <t>Kuningan</t>
  </si>
  <si>
    <t>df</t>
  </si>
  <si>
    <t>SS</t>
  </si>
  <si>
    <t>MS</t>
  </si>
  <si>
    <t>F</t>
  </si>
  <si>
    <t>Significance F</t>
  </si>
  <si>
    <t>Cirebon</t>
  </si>
  <si>
    <t>Regression</t>
  </si>
  <si>
    <t>Majalengka</t>
  </si>
  <si>
    <t>Residual</t>
  </si>
  <si>
    <t>Sumedang</t>
  </si>
  <si>
    <t>Total</t>
  </si>
  <si>
    <t>Indramayu</t>
  </si>
  <si>
    <t>Subang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</si>
  <si>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</si>
  <si>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</si>
  <si>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</si>
  <si>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</si>
  <si>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</si>
  <si>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</si>
  <si>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</si>
  <si>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Purwakarta</t>
  </si>
  <si>
    <t>Intercept</t>
  </si>
  <si>
    <t>Karawang</t>
  </si>
  <si>
    <t>X Variable 1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</si>
  <si>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</si>
  <si>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</si>
  <si>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</si>
  <si>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</si>
  <si>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</si>
  <si>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</si>
  <si>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</si>
  <si>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</si>
  <si>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</si>
  <si>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</si>
  <si>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</si>
  <si>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</si>
  <si>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</si>
  <si>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</si>
  <si>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</si>
  <si>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</si>
  <si>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</si>
  <si>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</si>
  <si>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</si>
  <si>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</si>
  <si>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</si>
  <si>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</si>
  <si>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</si>
  <si>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</si>
  <si>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</si>
  <si>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</si>
  <si>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</si>
  <si>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</si>
  <si>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</si>
  <si>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</si>
  <si>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</si>
  <si>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</si>
  <si>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</si>
  <si>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</si>
  <si>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</si>
  <si>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</si>
  <si>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</si>
  <si>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</si>
  <si>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</si>
  <si>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</si>
  <si>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</si>
  <si>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</si>
  <si>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</si>
  <si>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</si>
  <si>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</si>
  <si>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</si>
  <si>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</si>
  <si>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</si>
  <si>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</si>
  <si>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</si>
  <si>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</si>
  <si>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</si>
  <si>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</si>
  <si>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</si>
  <si>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</si>
  <si>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</si>
  <si>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</si>
  <si>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</si>
  <si>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</si>
  <si>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</si>
  <si>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</si>
  <si>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</si>
  <si>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</si>
  <si>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</si>
  <si>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</si>
  <si>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</si>
  <si>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</si>
  <si>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</si>
  <si>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</si>
  <si>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</si>
  <si>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</si>
  <si>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</si>
  <si>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</si>
  <si>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</si>
  <si>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</si>
  <si>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</si>
  <si>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</si>
  <si>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</si>
  <si>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</si>
  <si>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</si>
  <si>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</si>
  <si>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</si>
  <si>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</si>
  <si>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</si>
  <si>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</si>
  <si>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</si>
  <si>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</si>
  <si>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</si>
  <si>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</si>
  <si>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</si>
  <si>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</si>
  <si>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</si>
  <si>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</si>
  <si>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</si>
  <si>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</si>
  <si>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</si>
  <si>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</si>
  <si>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</si>
  <si>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rataan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</si>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</sst>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Continuous"/>
    </xf>
    <xf numFmtId="0" fontId="0" fillId="0" borderId="5" xfId="0" applyBorder="1"/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C923-5EAB-48B0-AAEC-DC4E758D94BD}">
  <dimension ref="A1:S122"/>
  <sheetViews>
    <sheetView tabSelected="1" workbookViewId="0">
      <selection activeCell="K117" sqref="K117"/>
    </sheetView>
  </sheetViews>
  <sheetFormatPr defaultRowHeight="13" x14ac:dyDescent="0.3"/>
  <cols>
    <col min="1" max="1" width="32.796875" customWidth="1"/>
    <col min="2" max="2" width="16" customWidth="1"/>
    <col min="3" max="3" width="16.19921875" customWidth="1"/>
    <col min="11" max="11" width="19.69921875" bestFit="1" customWidth="1"/>
    <col min="12" max="12" width="13.69921875" bestFit="1" customWidth="1"/>
    <col min="13" max="13" width="14.69921875" bestFit="1" customWidth="1"/>
    <col min="14" max="14" width="13.69921875" bestFit="1" customWidth="1"/>
    <col min="15" max="15" width="13.296875" bestFit="1" customWidth="1"/>
    <col min="16" max="16" width="14.19921875" bestFit="1" customWidth="1"/>
    <col min="17" max="19" width="13.69921875" bestFit="1" customWidth="1"/>
  </cols>
  <sheetData>
    <row r="1" spans="1:16" ht="52" x14ac:dyDescent="0.3">
      <c r="A1" s="1" t="s">
        <v>0</v>
      </c>
      <c r="B1" s="2" t="s">
        <v>1</v>
      </c>
      <c r="C1" s="2" t="s">
        <v>2</v>
      </c>
      <c r="E1" s="3" t="s">
        <v>3</v>
      </c>
      <c r="F1" s="3" t="s">
        <v>4</v>
      </c>
      <c r="H1" s="3" t="s">
        <v>5</v>
      </c>
      <c r="I1" s="3" t="s">
        <v>6</v>
      </c>
    </row>
    <row r="2" spans="1:16" x14ac:dyDescent="0.3">
      <c r="A2" s="4" t="s">
        <v>7</v>
      </c>
      <c r="B2" s="4">
        <v>76.69</v>
      </c>
      <c r="C2" s="4">
        <v>0.37</v>
      </c>
      <c r="E2">
        <f>B2-$B$122</f>
        <v>0.94386554621844709</v>
      </c>
      <c r="F2">
        <f>C2-$C$122</f>
        <v>-4.4531932773109242</v>
      </c>
      <c r="H2">
        <f>F2^2</f>
        <v>19.830930365087209</v>
      </c>
      <c r="I2">
        <f>F2*E2</f>
        <v>-4.203215705105392</v>
      </c>
      <c r="K2" t="s">
        <v>8</v>
      </c>
      <c r="L2">
        <f>B122-L3*C122</f>
        <v>79.711662434162989</v>
      </c>
    </row>
    <row r="3" spans="1:16" x14ac:dyDescent="0.3">
      <c r="A3" s="4" t="s">
        <v>9</v>
      </c>
      <c r="B3" s="4">
        <v>87.57</v>
      </c>
      <c r="C3" s="4">
        <v>3.74</v>
      </c>
      <c r="E3">
        <f t="shared" ref="E3:E66" si="0">B3-$B$122</f>
        <v>11.823865546218443</v>
      </c>
      <c r="F3">
        <f>C3-$C$122</f>
        <v>-1.0831932773109241</v>
      </c>
      <c r="H3">
        <f t="shared" ref="H3:H66" si="1">F3^2</f>
        <v>1.1733076760115804</v>
      </c>
      <c r="I3">
        <f t="shared" ref="I3:I66" si="2">F3*E3</f>
        <v>-12.807531671492073</v>
      </c>
      <c r="K3" t="s">
        <v>10</v>
      </c>
      <c r="L3">
        <f>I122/H122</f>
        <v>-0.82217894916961232</v>
      </c>
    </row>
    <row r="4" spans="1:16" x14ac:dyDescent="0.3">
      <c r="A4" s="4" t="s">
        <v>11</v>
      </c>
      <c r="B4" s="4">
        <v>84.76</v>
      </c>
      <c r="C4" s="4">
        <v>2.13</v>
      </c>
      <c r="E4">
        <f t="shared" si="0"/>
        <v>9.0138655462184545</v>
      </c>
      <c r="F4">
        <f t="shared" ref="F4:F67" si="3">C4-$C$122</f>
        <v>-2.6931932773109244</v>
      </c>
      <c r="H4">
        <f t="shared" si="1"/>
        <v>7.2532900289527573</v>
      </c>
      <c r="I4">
        <f t="shared" si="2"/>
        <v>-24.276082091660104</v>
      </c>
    </row>
    <row r="5" spans="1:16" x14ac:dyDescent="0.3">
      <c r="A5" s="4" t="s">
        <v>12</v>
      </c>
      <c r="B5" s="4">
        <v>83.75</v>
      </c>
      <c r="C5" s="4">
        <v>0.01</v>
      </c>
      <c r="E5">
        <f t="shared" si="0"/>
        <v>8.0038655462184494</v>
      </c>
      <c r="F5">
        <f t="shared" si="3"/>
        <v>-4.8131932773109245</v>
      </c>
      <c r="H5">
        <f t="shared" si="1"/>
        <v>23.16682952475108</v>
      </c>
      <c r="I5">
        <f t="shared" si="2"/>
        <v>-38.524151839559174</v>
      </c>
      <c r="K5" t="s">
        <v>13</v>
      </c>
    </row>
    <row r="6" spans="1:16" ht="13.5" thickBot="1" x14ac:dyDescent="0.35">
      <c r="A6" s="4" t="s">
        <v>14</v>
      </c>
      <c r="B6" s="4">
        <v>84.4</v>
      </c>
      <c r="C6" s="4">
        <v>2.16</v>
      </c>
      <c r="E6">
        <f t="shared" si="0"/>
        <v>8.6538655462184551</v>
      </c>
      <c r="F6">
        <f t="shared" si="3"/>
        <v>-2.6631932773109241</v>
      </c>
      <c r="H6">
        <f t="shared" si="1"/>
        <v>7.0925984323141007</v>
      </c>
      <c r="I6">
        <f t="shared" si="2"/>
        <v>-23.046916545441618</v>
      </c>
    </row>
    <row r="7" spans="1:16" x14ac:dyDescent="0.3">
      <c r="A7" s="4" t="s">
        <v>15</v>
      </c>
      <c r="B7" s="4">
        <v>82.13</v>
      </c>
      <c r="C7" s="4">
        <v>0.52</v>
      </c>
      <c r="E7">
        <f t="shared" si="0"/>
        <v>6.3838655462184448</v>
      </c>
      <c r="F7">
        <f t="shared" si="3"/>
        <v>-4.3031932773109247</v>
      </c>
      <c r="H7">
        <f t="shared" si="1"/>
        <v>18.517472381893938</v>
      </c>
      <c r="I7">
        <f t="shared" si="2"/>
        <v>-27.471007301744045</v>
      </c>
      <c r="K7" s="5" t="s">
        <v>16</v>
      </c>
      <c r="L7" s="5"/>
    </row>
    <row r="8" spans="1:16" x14ac:dyDescent="0.3">
      <c r="A8" s="4" t="s">
        <v>17</v>
      </c>
      <c r="B8" s="4">
        <v>73.63</v>
      </c>
      <c r="C8" s="4">
        <v>3.94</v>
      </c>
      <c r="E8">
        <f t="shared" si="0"/>
        <v>-2.1161344537815552</v>
      </c>
      <c r="F8">
        <f t="shared" si="3"/>
        <v>-0.88319327731092434</v>
      </c>
      <c r="H8">
        <f t="shared" si="1"/>
        <v>0.78003036508721135</v>
      </c>
      <c r="I8">
        <f t="shared" si="2"/>
        <v>1.8689557234658944</v>
      </c>
      <c r="K8" t="s">
        <v>18</v>
      </c>
      <c r="L8">
        <v>0.35616922813746582</v>
      </c>
    </row>
    <row r="9" spans="1:16" x14ac:dyDescent="0.3">
      <c r="A9" s="4" t="s">
        <v>19</v>
      </c>
      <c r="B9" s="4">
        <v>70.180000000000007</v>
      </c>
      <c r="C9" s="4">
        <v>7.72</v>
      </c>
      <c r="E9">
        <f t="shared" si="0"/>
        <v>-5.5661344537815438</v>
      </c>
      <c r="F9">
        <f t="shared" si="3"/>
        <v>2.8968067226890755</v>
      </c>
      <c r="H9">
        <f t="shared" si="1"/>
        <v>8.3914891886166227</v>
      </c>
      <c r="I9">
        <f t="shared" si="2"/>
        <v>-16.124015705105663</v>
      </c>
      <c r="K9" t="s">
        <v>20</v>
      </c>
      <c r="L9">
        <v>0.12685651907203818</v>
      </c>
    </row>
    <row r="10" spans="1:16" x14ac:dyDescent="0.3">
      <c r="A10" s="4" t="s">
        <v>21</v>
      </c>
      <c r="B10" s="4">
        <v>68.89</v>
      </c>
      <c r="C10" s="4">
        <v>5.48</v>
      </c>
      <c r="E10">
        <f t="shared" si="0"/>
        <v>-6.8561344537815501</v>
      </c>
      <c r="F10">
        <f t="shared" si="3"/>
        <v>0.65680672268907614</v>
      </c>
      <c r="H10">
        <f t="shared" si="1"/>
        <v>0.43139507096956498</v>
      </c>
      <c r="I10">
        <f t="shared" si="2"/>
        <v>-4.5031552009039189</v>
      </c>
      <c r="K10" t="s">
        <v>22</v>
      </c>
      <c r="L10">
        <v>0.11939375427778209</v>
      </c>
    </row>
    <row r="11" spans="1:16" x14ac:dyDescent="0.3">
      <c r="A11" s="4" t="s">
        <v>23</v>
      </c>
      <c r="B11" s="4">
        <v>74.59</v>
      </c>
      <c r="C11" s="4">
        <v>6.21</v>
      </c>
      <c r="E11">
        <f t="shared" si="0"/>
        <v>-1.1561344537815472</v>
      </c>
      <c r="F11">
        <f t="shared" si="3"/>
        <v>1.3868067226890757</v>
      </c>
      <c r="H11">
        <f t="shared" si="1"/>
        <v>1.9232328860956149</v>
      </c>
      <c r="I11">
        <f t="shared" si="2"/>
        <v>-1.6033350328367122</v>
      </c>
      <c r="K11" t="s">
        <v>24</v>
      </c>
      <c r="L11">
        <v>4.7076089176547562</v>
      </c>
    </row>
    <row r="12" spans="1:16" ht="13.5" thickBot="1" x14ac:dyDescent="0.35">
      <c r="A12" s="4" t="s">
        <v>25</v>
      </c>
      <c r="B12" s="4">
        <v>69.91</v>
      </c>
      <c r="C12" s="4">
        <v>9.4499999999999993</v>
      </c>
      <c r="E12">
        <f t="shared" si="0"/>
        <v>-5.836134453781554</v>
      </c>
      <c r="F12">
        <f t="shared" si="3"/>
        <v>4.626806722689075</v>
      </c>
      <c r="H12">
        <f t="shared" si="1"/>
        <v>21.40734044912082</v>
      </c>
      <c r="I12">
        <f t="shared" si="2"/>
        <v>-27.002666125273826</v>
      </c>
      <c r="K12" s="6" t="s">
        <v>26</v>
      </c>
      <c r="L12" s="6">
        <v>119</v>
      </c>
    </row>
    <row r="13" spans="1:16" x14ac:dyDescent="0.3">
      <c r="A13" s="4" t="s">
        <v>27</v>
      </c>
      <c r="B13" s="4">
        <v>69.98</v>
      </c>
      <c r="C13" s="4">
        <v>9.57</v>
      </c>
      <c r="E13">
        <f t="shared" si="0"/>
        <v>-5.7661344537815467</v>
      </c>
      <c r="F13">
        <f t="shared" si="3"/>
        <v>4.746806722689076</v>
      </c>
      <c r="H13">
        <f t="shared" si="1"/>
        <v>22.532174062566206</v>
      </c>
      <c r="I13">
        <f t="shared" si="2"/>
        <v>-27.37072578913935</v>
      </c>
    </row>
    <row r="14" spans="1:16" ht="13.5" thickBot="1" x14ac:dyDescent="0.35">
      <c r="A14" s="4" t="s">
        <v>28</v>
      </c>
      <c r="B14" s="4">
        <v>73.64</v>
      </c>
      <c r="C14" s="4">
        <v>3.27</v>
      </c>
      <c r="E14">
        <f t="shared" si="0"/>
        <v>-2.1061344537815501</v>
      </c>
      <c r="F14">
        <f t="shared" si="3"/>
        <v>-1.5531932773109243</v>
      </c>
      <c r="H14">
        <f t="shared" si="1"/>
        <v>2.4124093566838498</v>
      </c>
      <c r="I14">
        <f t="shared" si="2"/>
        <v>3.2712338747264189</v>
      </c>
      <c r="K14" t="s">
        <v>29</v>
      </c>
    </row>
    <row r="15" spans="1:16" x14ac:dyDescent="0.3">
      <c r="A15" s="4" t="s">
        <v>30</v>
      </c>
      <c r="B15" s="4">
        <v>71.56</v>
      </c>
      <c r="C15" s="4">
        <v>5.83</v>
      </c>
      <c r="E15">
        <f t="shared" si="0"/>
        <v>-4.1861344537815484</v>
      </c>
      <c r="F15">
        <f t="shared" si="3"/>
        <v>1.0068067226890758</v>
      </c>
      <c r="H15">
        <f t="shared" si="1"/>
        <v>1.0136597768519175</v>
      </c>
      <c r="I15">
        <f t="shared" si="2"/>
        <v>-4.2146283101476252</v>
      </c>
      <c r="K15" s="7"/>
      <c r="L15" s="7" t="s">
        <v>31</v>
      </c>
      <c r="M15" s="7" t="s">
        <v>32</v>
      </c>
      <c r="N15" s="7" t="s">
        <v>33</v>
      </c>
      <c r="O15" s="7" t="s">
        <v>34</v>
      </c>
      <c r="P15" s="7" t="s">
        <v>35</v>
      </c>
    </row>
    <row r="16" spans="1:16" x14ac:dyDescent="0.3">
      <c r="A16" s="4" t="s">
        <v>36</v>
      </c>
      <c r="B16" s="4">
        <v>72.3</v>
      </c>
      <c r="C16" s="4">
        <v>5.87</v>
      </c>
      <c r="E16">
        <f t="shared" si="0"/>
        <v>-3.4461344537815535</v>
      </c>
      <c r="F16">
        <f t="shared" si="3"/>
        <v>1.0468067226890758</v>
      </c>
      <c r="H16">
        <f t="shared" si="1"/>
        <v>1.0958043146670438</v>
      </c>
      <c r="I16">
        <f t="shared" si="2"/>
        <v>-3.6074367135089762</v>
      </c>
      <c r="K16" t="s">
        <v>37</v>
      </c>
      <c r="L16">
        <v>1</v>
      </c>
      <c r="M16">
        <v>376.71576042357628</v>
      </c>
      <c r="N16">
        <v>376.71576042357628</v>
      </c>
      <c r="O16">
        <v>16.998595369061704</v>
      </c>
      <c r="P16">
        <v>7.0225458113012693E-5</v>
      </c>
    </row>
    <row r="17" spans="1:19" x14ac:dyDescent="0.3">
      <c r="A17" s="4" t="s">
        <v>38</v>
      </c>
      <c r="B17" s="4">
        <v>71.37</v>
      </c>
      <c r="C17" s="4">
        <v>9.02</v>
      </c>
      <c r="E17">
        <f t="shared" si="0"/>
        <v>-4.3761344537815461</v>
      </c>
      <c r="F17">
        <f t="shared" si="3"/>
        <v>4.1968067226890753</v>
      </c>
      <c r="H17">
        <f t="shared" si="1"/>
        <v>17.613186667608218</v>
      </c>
      <c r="I17">
        <f t="shared" si="2"/>
        <v>-18.365790495021677</v>
      </c>
      <c r="K17" t="s">
        <v>39</v>
      </c>
      <c r="L17">
        <v>117</v>
      </c>
      <c r="M17">
        <v>2592.9050614251628</v>
      </c>
      <c r="N17">
        <v>22.161581721582589</v>
      </c>
    </row>
    <row r="18" spans="1:19" ht="13.5" thickBot="1" x14ac:dyDescent="0.35">
      <c r="A18" s="4" t="s">
        <v>40</v>
      </c>
      <c r="B18" s="4">
        <v>74.569999999999993</v>
      </c>
      <c r="C18" s="4">
        <v>-1.1299999999999999</v>
      </c>
      <c r="E18">
        <f t="shared" si="0"/>
        <v>-1.1761344537815575</v>
      </c>
      <c r="F18">
        <f t="shared" si="3"/>
        <v>-5.9531932773109242</v>
      </c>
      <c r="H18">
        <f t="shared" si="1"/>
        <v>35.440510197019982</v>
      </c>
      <c r="I18">
        <f t="shared" si="2"/>
        <v>7.0017557234661236</v>
      </c>
      <c r="K18" s="6" t="s">
        <v>41</v>
      </c>
      <c r="L18" s="6">
        <v>118</v>
      </c>
      <c r="M18" s="6">
        <v>2969.6208218487391</v>
      </c>
      <c r="N18" s="6"/>
      <c r="O18" s="6"/>
      <c r="P18" s="6"/>
    </row>
    <row r="19" spans="1:19" ht="13.5" thickBot="1" x14ac:dyDescent="0.35">
      <c r="A19" s="4" t="s">
        <v>42</v>
      </c>
      <c r="B19" s="4">
        <v>70.72</v>
      </c>
      <c r="C19" s="4">
        <v>0</v>
      </c>
      <c r="E19">
        <f t="shared" si="0"/>
        <v>-5.0261344537815518</v>
      </c>
      <c r="F19">
        <f t="shared" si="3"/>
        <v>-4.8231932773109243</v>
      </c>
      <c r="H19">
        <f t="shared" si="1"/>
        <v>23.263193390297296</v>
      </c>
      <c r="I19">
        <f t="shared" si="2"/>
        <v>24.242017908339996</v>
      </c>
    </row>
    <row r="20" spans="1:19" x14ac:dyDescent="0.3">
      <c r="A20" s="4" t="s">
        <v>43</v>
      </c>
      <c r="B20" s="4">
        <v>72.05</v>
      </c>
      <c r="C20" s="4">
        <v>4.8600000000000003</v>
      </c>
      <c r="E20">
        <f t="shared" si="0"/>
        <v>-3.6961344537815535</v>
      </c>
      <c r="F20">
        <f t="shared" si="3"/>
        <v>3.6806722689076032E-2</v>
      </c>
      <c r="H20">
        <f t="shared" si="1"/>
        <v>1.3547348351105443E-3</v>
      </c>
      <c r="I20">
        <f t="shared" si="2"/>
        <v>-0.13604259586187714</v>
      </c>
      <c r="K20" s="7"/>
      <c r="L20" s="7" t="s">
        <v>44</v>
      </c>
      <c r="M20" s="7" t="s">
        <v>24</v>
      </c>
      <c r="N20" s="7" t="s">
        <v>45</v>
      </c>
      <c r="O20" s="7" t="s">
        <v>46</v>
      </c>
      <c r="P20" s="7" t="s">
        <v>47</v>
      </c>
      <c r="Q20" s="7" t="s">
        <v>48</v>
      </c>
      <c r="R20" s="7" t="s">
        <v>49</v>
      </c>
      <c r="S20" s="7" t="s">
        <v>50</v>
      </c>
    </row>
    <row r="21" spans="1:19" x14ac:dyDescent="0.3">
      <c r="A21" s="4" t="s">
        <v>51</v>
      </c>
      <c r="B21" s="4">
        <v>73.989999999999995</v>
      </c>
      <c r="C21" s="4">
        <v>3.46</v>
      </c>
      <c r="E21">
        <f t="shared" si="0"/>
        <v>-1.7561344537815557</v>
      </c>
      <c r="F21">
        <f t="shared" si="3"/>
        <v>-1.3631932773109243</v>
      </c>
      <c r="H21">
        <f t="shared" si="1"/>
        <v>1.8582959113056987</v>
      </c>
      <c r="I21">
        <f t="shared" si="2"/>
        <v>2.3939506814491089</v>
      </c>
      <c r="K21" t="s">
        <v>52</v>
      </c>
      <c r="L21">
        <v>79.711662434162989</v>
      </c>
      <c r="M21">
        <v>1.0541975435530819</v>
      </c>
      <c r="N21">
        <v>75.613591514832891</v>
      </c>
      <c r="O21">
        <v>3.5421928828476505E-101</v>
      </c>
      <c r="P21">
        <v>77.623879440495344</v>
      </c>
      <c r="Q21">
        <v>81.799445427830634</v>
      </c>
      <c r="R21">
        <v>77.623879440495344</v>
      </c>
      <c r="S21">
        <v>81.799445427830634</v>
      </c>
    </row>
    <row r="22" spans="1:19" ht="13.5" thickBot="1" x14ac:dyDescent="0.35">
      <c r="A22" s="4" t="s">
        <v>53</v>
      </c>
      <c r="B22" s="4">
        <v>73.819999999999993</v>
      </c>
      <c r="C22" s="4">
        <v>2.91</v>
      </c>
      <c r="E22">
        <f t="shared" si="0"/>
        <v>-1.9261344537815575</v>
      </c>
      <c r="F22">
        <f t="shared" si="3"/>
        <v>-1.9131932773109241</v>
      </c>
      <c r="H22">
        <f t="shared" si="1"/>
        <v>3.6603085163477145</v>
      </c>
      <c r="I22">
        <f t="shared" si="2"/>
        <v>3.6850674881718248</v>
      </c>
      <c r="K22" s="6" t="s">
        <v>54</v>
      </c>
      <c r="L22" s="6">
        <v>-0.82217894916961243</v>
      </c>
      <c r="M22" s="6">
        <v>0.19941592390393545</v>
      </c>
      <c r="N22" s="6">
        <v>-4.1229352855776975</v>
      </c>
      <c r="O22" s="6">
        <v>7.0225458113014536E-5</v>
      </c>
      <c r="P22" s="6">
        <v>-1.2171117368043938</v>
      </c>
      <c r="Q22" s="6">
        <v>-0.42724616153483114</v>
      </c>
      <c r="R22" s="6">
        <v>-1.2171117368043938</v>
      </c>
      <c r="S22" s="6">
        <v>-0.42724616153483114</v>
      </c>
    </row>
    <row r="23" spans="1:19" x14ac:dyDescent="0.3">
      <c r="A23" s="4" t="s">
        <v>55</v>
      </c>
      <c r="B23" s="4">
        <v>76.8</v>
      </c>
      <c r="C23" s="4">
        <v>4.93</v>
      </c>
      <c r="E23">
        <f t="shared" si="0"/>
        <v>1.0538655462184465</v>
      </c>
      <c r="F23">
        <f t="shared" si="3"/>
        <v>0.10680672268907543</v>
      </c>
      <c r="H23">
        <f t="shared" si="1"/>
        <v>1.1407676011581059E-2</v>
      </c>
      <c r="I23">
        <f t="shared" si="2"/>
        <v>0.11255992514652462</v>
      </c>
    </row>
    <row r="24" spans="1:19" x14ac:dyDescent="0.3">
      <c r="A24" s="4" t="s">
        <v>56</v>
      </c>
      <c r="B24" s="4">
        <v>70.77</v>
      </c>
      <c r="C24" s="4">
        <v>3.14</v>
      </c>
      <c r="E24">
        <f t="shared" si="0"/>
        <v>-4.9761344537815546</v>
      </c>
      <c r="F24">
        <f t="shared" si="3"/>
        <v>-1.6831932773109242</v>
      </c>
      <c r="H24">
        <f t="shared" si="1"/>
        <v>2.8331396087846898</v>
      </c>
      <c r="I24">
        <f t="shared" si="2"/>
        <v>8.3757960596003809</v>
      </c>
    </row>
    <row r="25" spans="1:19" x14ac:dyDescent="0.3">
      <c r="A25" s="4" t="s">
        <v>57</v>
      </c>
      <c r="B25" s="4">
        <v>71.03</v>
      </c>
      <c r="C25" s="4">
        <v>2.5299999999999998</v>
      </c>
      <c r="E25">
        <f t="shared" si="0"/>
        <v>-4.7161344537815495</v>
      </c>
      <c r="F25">
        <f t="shared" si="3"/>
        <v>-2.2931932773109245</v>
      </c>
      <c r="H25">
        <f t="shared" si="1"/>
        <v>5.2587354071040187</v>
      </c>
      <c r="I25">
        <f t="shared" si="2"/>
        <v>10.815007824306278</v>
      </c>
    </row>
    <row r="26" spans="1:19" x14ac:dyDescent="0.3">
      <c r="A26" s="4" t="s">
        <v>58</v>
      </c>
      <c r="B26" s="4">
        <v>79.03</v>
      </c>
      <c r="C26" s="4">
        <v>2.4500000000000002</v>
      </c>
      <c r="E26">
        <f t="shared" si="0"/>
        <v>3.2838655462184505</v>
      </c>
      <c r="F26">
        <f t="shared" si="3"/>
        <v>-2.3731932773109241</v>
      </c>
      <c r="H26">
        <f t="shared" si="1"/>
        <v>5.6320463314737648</v>
      </c>
      <c r="I26">
        <f t="shared" si="2"/>
        <v>-7.7932476378785926</v>
      </c>
    </row>
    <row r="27" spans="1:19" x14ac:dyDescent="0.3">
      <c r="A27" s="4" t="s">
        <v>59</v>
      </c>
      <c r="B27" s="4">
        <v>77.69</v>
      </c>
      <c r="C27" s="4">
        <v>5.97</v>
      </c>
      <c r="E27">
        <f t="shared" si="0"/>
        <v>1.9438655462184471</v>
      </c>
      <c r="F27">
        <f t="shared" si="3"/>
        <v>1.1468067226890755</v>
      </c>
      <c r="H27">
        <f t="shared" si="1"/>
        <v>1.315165659204858</v>
      </c>
      <c r="I27">
        <f t="shared" si="2"/>
        <v>2.229238076406987</v>
      </c>
    </row>
    <row r="28" spans="1:19" x14ac:dyDescent="0.3">
      <c r="A28" s="4" t="s">
        <v>60</v>
      </c>
      <c r="B28" s="4">
        <v>83.75</v>
      </c>
      <c r="C28" s="4">
        <v>0.77</v>
      </c>
      <c r="E28">
        <f t="shared" si="0"/>
        <v>8.0038655462184494</v>
      </c>
      <c r="F28">
        <f t="shared" si="3"/>
        <v>-4.0531932773109247</v>
      </c>
      <c r="H28">
        <f t="shared" si="1"/>
        <v>16.428375743238476</v>
      </c>
      <c r="I28">
        <f t="shared" si="2"/>
        <v>-32.441214024433151</v>
      </c>
    </row>
    <row r="29" spans="1:19" x14ac:dyDescent="0.3">
      <c r="A29" s="4" t="s">
        <v>61</v>
      </c>
      <c r="B29" s="4">
        <v>78.09</v>
      </c>
      <c r="C29" s="4">
        <v>1.27</v>
      </c>
      <c r="E29">
        <f t="shared" si="0"/>
        <v>2.3438655462184528</v>
      </c>
      <c r="F29">
        <f t="shared" si="3"/>
        <v>-3.5531932773109243</v>
      </c>
      <c r="H29">
        <f t="shared" si="1"/>
        <v>12.625182465927546</v>
      </c>
      <c r="I29">
        <f t="shared" si="2"/>
        <v>-8.3282073017441043</v>
      </c>
    </row>
    <row r="30" spans="1:19" x14ac:dyDescent="0.3">
      <c r="A30" s="4" t="s">
        <v>62</v>
      </c>
      <c r="B30" s="4">
        <v>83.55</v>
      </c>
      <c r="C30" s="4">
        <v>2.96</v>
      </c>
      <c r="E30">
        <f t="shared" si="0"/>
        <v>7.8038655462184465</v>
      </c>
      <c r="F30">
        <f t="shared" si="3"/>
        <v>-1.8631932773109243</v>
      </c>
      <c r="H30">
        <f t="shared" si="1"/>
        <v>3.4714891886166228</v>
      </c>
      <c r="I30">
        <f t="shared" si="2"/>
        <v>-14.540109822752553</v>
      </c>
    </row>
    <row r="31" spans="1:19" x14ac:dyDescent="0.3">
      <c r="A31" s="4" t="s">
        <v>63</v>
      </c>
      <c r="B31" s="4">
        <v>83.05</v>
      </c>
      <c r="C31" s="4">
        <v>5</v>
      </c>
      <c r="E31">
        <f t="shared" si="0"/>
        <v>7.3038655462184465</v>
      </c>
      <c r="F31">
        <f t="shared" si="3"/>
        <v>0.17680672268907571</v>
      </c>
      <c r="H31">
        <f t="shared" si="1"/>
        <v>3.1260617188051718E-2</v>
      </c>
      <c r="I31">
        <f t="shared" si="2"/>
        <v>1.2913725301885395</v>
      </c>
    </row>
    <row r="32" spans="1:19" x14ac:dyDescent="0.3">
      <c r="A32" s="4" t="s">
        <v>64</v>
      </c>
      <c r="B32" s="4">
        <v>80.3</v>
      </c>
      <c r="C32" s="4">
        <v>2.81</v>
      </c>
      <c r="E32">
        <f t="shared" si="0"/>
        <v>4.5538655462184465</v>
      </c>
      <c r="F32">
        <f t="shared" si="3"/>
        <v>-2.0131932773109242</v>
      </c>
      <c r="H32">
        <f t="shared" si="1"/>
        <v>4.0529471718099002</v>
      </c>
      <c r="I32">
        <f t="shared" si="2"/>
        <v>-9.1678115034248169</v>
      </c>
    </row>
    <row r="33" spans="1:9" x14ac:dyDescent="0.3">
      <c r="A33" s="4" t="s">
        <v>65</v>
      </c>
      <c r="B33" s="4">
        <v>76.03</v>
      </c>
      <c r="C33" s="4">
        <v>5.46</v>
      </c>
      <c r="E33">
        <f t="shared" si="0"/>
        <v>0.2838655462184505</v>
      </c>
      <c r="F33">
        <f t="shared" si="3"/>
        <v>0.63680672268907568</v>
      </c>
      <c r="H33">
        <f t="shared" si="1"/>
        <v>0.40552280206200131</v>
      </c>
      <c r="I33">
        <f t="shared" si="2"/>
        <v>0.18076748817171581</v>
      </c>
    </row>
    <row r="34" spans="1:9" x14ac:dyDescent="0.3">
      <c r="A34" s="4" t="s">
        <v>66</v>
      </c>
      <c r="B34" s="4">
        <v>75.010000000000005</v>
      </c>
      <c r="C34" s="4">
        <v>3.91</v>
      </c>
      <c r="E34">
        <f t="shared" si="0"/>
        <v>-0.73613445378154552</v>
      </c>
      <c r="F34">
        <f t="shared" si="3"/>
        <v>-0.91319327731092415</v>
      </c>
      <c r="H34">
        <f t="shared" si="1"/>
        <v>0.83392196172586641</v>
      </c>
      <c r="I34">
        <f t="shared" si="2"/>
        <v>0.67223303439025661</v>
      </c>
    </row>
    <row r="35" spans="1:9" x14ac:dyDescent="0.3">
      <c r="A35" s="4" t="s">
        <v>67</v>
      </c>
      <c r="B35" s="4">
        <v>72.55</v>
      </c>
      <c r="C35" s="4">
        <v>1.06</v>
      </c>
      <c r="E35">
        <f t="shared" si="0"/>
        <v>-3.1961344537815535</v>
      </c>
      <c r="F35">
        <f t="shared" si="3"/>
        <v>-3.7631932773109242</v>
      </c>
      <c r="H35">
        <f t="shared" si="1"/>
        <v>14.161623642398135</v>
      </c>
      <c r="I35">
        <f t="shared" si="2"/>
        <v>12.027671689852564</v>
      </c>
    </row>
    <row r="36" spans="1:9" x14ac:dyDescent="0.3">
      <c r="A36" s="4" t="s">
        <v>68</v>
      </c>
      <c r="B36" s="4">
        <v>74.52</v>
      </c>
      <c r="C36" s="4">
        <v>5.05</v>
      </c>
      <c r="E36">
        <f t="shared" si="0"/>
        <v>-1.2261344537815546</v>
      </c>
      <c r="F36">
        <f t="shared" si="3"/>
        <v>0.22680672268907554</v>
      </c>
      <c r="H36">
        <f t="shared" si="1"/>
        <v>5.1441289456959208E-2</v>
      </c>
      <c r="I36">
        <f t="shared" si="2"/>
        <v>-0.27809553703835416</v>
      </c>
    </row>
    <row r="37" spans="1:9" x14ac:dyDescent="0.3">
      <c r="A37" s="4" t="s">
        <v>69</v>
      </c>
      <c r="B37" s="4">
        <v>70.97</v>
      </c>
      <c r="C37" s="4">
        <v>4.25</v>
      </c>
      <c r="E37">
        <f t="shared" si="0"/>
        <v>-4.7761344537815518</v>
      </c>
      <c r="F37">
        <f t="shared" si="3"/>
        <v>-0.57319327731092429</v>
      </c>
      <c r="H37">
        <f t="shared" si="1"/>
        <v>0.32855053315443816</v>
      </c>
      <c r="I37">
        <f t="shared" si="2"/>
        <v>2.7376481604406688</v>
      </c>
    </row>
    <row r="38" spans="1:9" x14ac:dyDescent="0.3">
      <c r="A38" s="4" t="s">
        <v>70</v>
      </c>
      <c r="B38" s="4">
        <v>69.62</v>
      </c>
      <c r="C38" s="4">
        <v>4.37</v>
      </c>
      <c r="E38">
        <f t="shared" si="0"/>
        <v>-6.1261344537815461</v>
      </c>
      <c r="F38">
        <f t="shared" si="3"/>
        <v>-0.45319327731092418</v>
      </c>
      <c r="H38">
        <f t="shared" si="1"/>
        <v>0.20538414659981621</v>
      </c>
      <c r="I38">
        <f t="shared" si="2"/>
        <v>2.7763229503566271</v>
      </c>
    </row>
    <row r="39" spans="1:9" x14ac:dyDescent="0.3">
      <c r="A39" s="4" t="s">
        <v>71</v>
      </c>
      <c r="B39" s="4">
        <v>72.48</v>
      </c>
      <c r="C39" s="4">
        <v>6</v>
      </c>
      <c r="E39">
        <f t="shared" si="0"/>
        <v>-3.2661344537815467</v>
      </c>
      <c r="F39">
        <f t="shared" si="3"/>
        <v>1.1768067226890757</v>
      </c>
      <c r="H39">
        <f t="shared" si="1"/>
        <v>1.384874062566203</v>
      </c>
      <c r="I39">
        <f t="shared" si="2"/>
        <v>-3.8436089824165363</v>
      </c>
    </row>
    <row r="40" spans="1:9" x14ac:dyDescent="0.3">
      <c r="A40" s="4" t="s">
        <v>72</v>
      </c>
      <c r="B40" s="4">
        <v>75.16</v>
      </c>
      <c r="C40" s="4">
        <v>4.8600000000000003</v>
      </c>
      <c r="E40">
        <f t="shared" si="0"/>
        <v>-0.58613445378155404</v>
      </c>
      <c r="F40">
        <f t="shared" si="3"/>
        <v>3.6806722689076032E-2</v>
      </c>
      <c r="H40">
        <f t="shared" si="1"/>
        <v>1.3547348351105443E-3</v>
      </c>
      <c r="I40">
        <f t="shared" si="2"/>
        <v>-2.1573688298850712E-2</v>
      </c>
    </row>
    <row r="41" spans="1:9" x14ac:dyDescent="0.3">
      <c r="A41" s="4" t="s">
        <v>73</v>
      </c>
      <c r="B41" s="4">
        <v>70.63</v>
      </c>
      <c r="C41" s="4">
        <v>1.42</v>
      </c>
      <c r="E41">
        <f t="shared" si="0"/>
        <v>-5.1161344537815552</v>
      </c>
      <c r="F41">
        <f t="shared" si="3"/>
        <v>-3.4031932773109244</v>
      </c>
      <c r="H41">
        <f t="shared" si="1"/>
        <v>11.58172448273427</v>
      </c>
      <c r="I41">
        <f t="shared" si="2"/>
        <v>17.411194378928187</v>
      </c>
    </row>
    <row r="42" spans="1:9" x14ac:dyDescent="0.3">
      <c r="A42" s="4" t="s">
        <v>74</v>
      </c>
      <c r="B42" s="4">
        <v>72.099999999999994</v>
      </c>
      <c r="C42" s="4">
        <v>6.54</v>
      </c>
      <c r="E42">
        <f t="shared" si="0"/>
        <v>-3.6461344537815563</v>
      </c>
      <c r="F42">
        <f t="shared" si="3"/>
        <v>1.7168067226890757</v>
      </c>
      <c r="H42">
        <f t="shared" si="1"/>
        <v>2.9474253230704051</v>
      </c>
      <c r="I42">
        <f t="shared" si="2"/>
        <v>-6.259708142080437</v>
      </c>
    </row>
    <row r="43" spans="1:9" x14ac:dyDescent="0.3">
      <c r="A43" s="4" t="s">
        <v>75</v>
      </c>
      <c r="B43" s="4">
        <v>75.959999999999994</v>
      </c>
      <c r="C43" s="4">
        <v>6.5</v>
      </c>
      <c r="E43">
        <f t="shared" si="0"/>
        <v>0.21386554621844311</v>
      </c>
      <c r="F43">
        <f t="shared" si="3"/>
        <v>1.6768067226890757</v>
      </c>
      <c r="H43">
        <f t="shared" si="1"/>
        <v>2.811680785255279</v>
      </c>
      <c r="I43">
        <f t="shared" si="2"/>
        <v>0.35861118565065664</v>
      </c>
    </row>
    <row r="44" spans="1:9" x14ac:dyDescent="0.3">
      <c r="A44" s="4" t="s">
        <v>76</v>
      </c>
      <c r="B44" s="4">
        <v>78.16</v>
      </c>
      <c r="C44" s="4">
        <v>5.37</v>
      </c>
      <c r="E44">
        <f t="shared" si="0"/>
        <v>2.413865546218446</v>
      </c>
      <c r="F44">
        <f t="shared" si="3"/>
        <v>0.54680672268907582</v>
      </c>
      <c r="H44">
        <f t="shared" si="1"/>
        <v>0.29899759197796788</v>
      </c>
      <c r="I44">
        <f t="shared" si="2"/>
        <v>1.3199179083397843</v>
      </c>
    </row>
    <row r="45" spans="1:9" x14ac:dyDescent="0.3">
      <c r="A45" s="4" t="s">
        <v>77</v>
      </c>
      <c r="B45" s="4">
        <v>79.3</v>
      </c>
      <c r="C45" s="4">
        <v>3.63</v>
      </c>
      <c r="E45">
        <f t="shared" si="0"/>
        <v>3.5538655462184465</v>
      </c>
      <c r="F45">
        <f t="shared" si="3"/>
        <v>-1.1931932773109244</v>
      </c>
      <c r="H45">
        <f t="shared" si="1"/>
        <v>1.4237101970199846</v>
      </c>
      <c r="I45">
        <f t="shared" si="2"/>
        <v>-4.2404484782147662</v>
      </c>
    </row>
    <row r="46" spans="1:9" x14ac:dyDescent="0.3">
      <c r="A46" s="4" t="s">
        <v>78</v>
      </c>
      <c r="B46" s="4">
        <v>72.540000000000006</v>
      </c>
      <c r="C46" s="4">
        <v>6.49</v>
      </c>
      <c r="E46">
        <f t="shared" si="0"/>
        <v>-3.2061344537815444</v>
      </c>
      <c r="F46">
        <f t="shared" si="3"/>
        <v>1.6668067226890759</v>
      </c>
      <c r="H46">
        <f t="shared" si="1"/>
        <v>2.778244650801498</v>
      </c>
      <c r="I46">
        <f t="shared" si="2"/>
        <v>-5.3440064614081466</v>
      </c>
    </row>
    <row r="47" spans="1:9" x14ac:dyDescent="0.3">
      <c r="A47" s="4" t="s">
        <v>79</v>
      </c>
      <c r="B47" s="4">
        <v>78.11</v>
      </c>
      <c r="C47" s="4">
        <v>5.4</v>
      </c>
      <c r="E47">
        <f t="shared" si="0"/>
        <v>2.3638655462184488</v>
      </c>
      <c r="F47">
        <f t="shared" si="3"/>
        <v>0.57680672268907607</v>
      </c>
      <c r="H47">
        <f t="shared" si="1"/>
        <v>0.33270599533931272</v>
      </c>
      <c r="I47">
        <f t="shared" si="2"/>
        <v>1.363493538591886</v>
      </c>
    </row>
    <row r="48" spans="1:9" x14ac:dyDescent="0.3">
      <c r="A48" s="4" t="s">
        <v>80</v>
      </c>
      <c r="B48" s="4">
        <v>75.53</v>
      </c>
      <c r="C48" s="4">
        <v>4.9000000000000004</v>
      </c>
      <c r="E48">
        <f t="shared" si="0"/>
        <v>-0.2161344537815495</v>
      </c>
      <c r="F48">
        <f t="shared" si="3"/>
        <v>7.6806722689076068E-2</v>
      </c>
      <c r="H48">
        <f t="shared" si="1"/>
        <v>5.8992726502366324E-3</v>
      </c>
      <c r="I48">
        <f t="shared" si="2"/>
        <v>-1.6600579055154399E-2</v>
      </c>
    </row>
    <row r="49" spans="1:9" x14ac:dyDescent="0.3">
      <c r="A49" s="4" t="s">
        <v>81</v>
      </c>
      <c r="B49" s="4">
        <v>72.02</v>
      </c>
      <c r="C49" s="4">
        <v>5.55</v>
      </c>
      <c r="E49">
        <f t="shared" si="0"/>
        <v>-3.7261344537815546</v>
      </c>
      <c r="F49">
        <f t="shared" si="3"/>
        <v>0.72680672268907554</v>
      </c>
      <c r="H49">
        <f t="shared" si="1"/>
        <v>0.52824801214603478</v>
      </c>
      <c r="I49">
        <f t="shared" si="2"/>
        <v>-2.7081795706518204</v>
      </c>
    </row>
    <row r="50" spans="1:9" x14ac:dyDescent="0.3">
      <c r="A50" s="4" t="s">
        <v>82</v>
      </c>
      <c r="B50" s="4">
        <v>71.42</v>
      </c>
      <c r="C50" s="4">
        <v>5.16</v>
      </c>
      <c r="E50">
        <f t="shared" si="0"/>
        <v>-4.3261344537815489</v>
      </c>
      <c r="F50">
        <f t="shared" si="3"/>
        <v>0.33680672268907585</v>
      </c>
      <c r="H50">
        <f t="shared" si="1"/>
        <v>0.11343876844855605</v>
      </c>
      <c r="I50">
        <f t="shared" si="2"/>
        <v>-1.4570711672904588</v>
      </c>
    </row>
    <row r="51" spans="1:9" x14ac:dyDescent="0.3">
      <c r="A51" s="4" t="s">
        <v>83</v>
      </c>
      <c r="B51" s="4">
        <v>72.53</v>
      </c>
      <c r="C51" s="4">
        <v>5.61</v>
      </c>
      <c r="E51">
        <f t="shared" si="0"/>
        <v>-3.2161344537815495</v>
      </c>
      <c r="F51">
        <f t="shared" si="3"/>
        <v>0.78680672268907603</v>
      </c>
      <c r="H51">
        <f t="shared" si="1"/>
        <v>0.61906481886872455</v>
      </c>
      <c r="I51">
        <f t="shared" si="2"/>
        <v>-2.5304762093072828</v>
      </c>
    </row>
    <row r="52" spans="1:9" x14ac:dyDescent="0.3">
      <c r="A52" s="4" t="s">
        <v>84</v>
      </c>
      <c r="B52" s="4">
        <v>74.099999999999994</v>
      </c>
      <c r="C52" s="4">
        <v>6.26</v>
      </c>
      <c r="E52">
        <f t="shared" si="0"/>
        <v>-1.6461344537815563</v>
      </c>
      <c r="F52">
        <f t="shared" si="3"/>
        <v>1.4368067226890755</v>
      </c>
      <c r="H52">
        <f t="shared" si="1"/>
        <v>2.0644135583645218</v>
      </c>
      <c r="I52">
        <f t="shared" si="2"/>
        <v>-2.3651770496434494</v>
      </c>
    </row>
    <row r="53" spans="1:9" x14ac:dyDescent="0.3">
      <c r="A53" s="4" t="s">
        <v>85</v>
      </c>
      <c r="B53" s="4">
        <v>77.209999999999994</v>
      </c>
      <c r="C53" s="4">
        <v>1.76</v>
      </c>
      <c r="E53">
        <f t="shared" si="0"/>
        <v>1.4638655462184431</v>
      </c>
      <c r="F53">
        <f t="shared" si="3"/>
        <v>-3.0631932773109245</v>
      </c>
      <c r="H53">
        <f t="shared" si="1"/>
        <v>9.3831530541628432</v>
      </c>
      <c r="I53">
        <f t="shared" si="2"/>
        <v>-4.4841031000634191</v>
      </c>
    </row>
    <row r="54" spans="1:9" x14ac:dyDescent="0.3">
      <c r="A54" s="4" t="s">
        <v>86</v>
      </c>
      <c r="B54" s="4">
        <v>74.319999999999993</v>
      </c>
      <c r="C54" s="4">
        <v>2.97</v>
      </c>
      <c r="E54">
        <f t="shared" si="0"/>
        <v>-1.4261344537815575</v>
      </c>
      <c r="F54">
        <f t="shared" si="3"/>
        <v>-1.8531932773109241</v>
      </c>
      <c r="H54">
        <f t="shared" si="1"/>
        <v>3.4343253230704036</v>
      </c>
      <c r="I54">
        <f t="shared" si="2"/>
        <v>2.6429027822894691</v>
      </c>
    </row>
    <row r="55" spans="1:9" x14ac:dyDescent="0.3">
      <c r="A55" s="4" t="s">
        <v>87</v>
      </c>
      <c r="B55" s="4">
        <v>74.569999999999993</v>
      </c>
      <c r="C55" s="4">
        <v>4.7699999999999996</v>
      </c>
      <c r="E55">
        <f t="shared" si="0"/>
        <v>-1.1761344537815575</v>
      </c>
      <c r="F55">
        <f t="shared" si="3"/>
        <v>-5.3193277310924714E-2</v>
      </c>
      <c r="H55">
        <f t="shared" si="1"/>
        <v>2.829524751076938E-3</v>
      </c>
      <c r="I55">
        <f t="shared" si="2"/>
        <v>6.256244615493535E-2</v>
      </c>
    </row>
    <row r="56" spans="1:9" x14ac:dyDescent="0.3">
      <c r="A56" s="4" t="s">
        <v>88</v>
      </c>
      <c r="B56" s="4">
        <v>75.67</v>
      </c>
      <c r="C56" s="4">
        <v>3.86</v>
      </c>
      <c r="E56">
        <f t="shared" si="0"/>
        <v>-7.6134453781548928E-2</v>
      </c>
      <c r="F56">
        <f t="shared" si="3"/>
        <v>-0.96319327731092441</v>
      </c>
      <c r="H56">
        <f t="shared" si="1"/>
        <v>0.92774128945695933</v>
      </c>
      <c r="I56">
        <f t="shared" si="2"/>
        <v>7.333219405412722E-2</v>
      </c>
    </row>
    <row r="57" spans="1:9" x14ac:dyDescent="0.3">
      <c r="A57" s="4" t="s">
        <v>89</v>
      </c>
      <c r="B57" s="4">
        <v>71.86</v>
      </c>
      <c r="C57" s="4">
        <v>3.05</v>
      </c>
      <c r="E57">
        <f t="shared" si="0"/>
        <v>-3.8861344537815512</v>
      </c>
      <c r="F57">
        <f t="shared" si="3"/>
        <v>-1.7731932773109245</v>
      </c>
      <c r="H57">
        <f t="shared" si="1"/>
        <v>3.1442143987006572</v>
      </c>
      <c r="I57">
        <f t="shared" si="2"/>
        <v>6.8908674881718079</v>
      </c>
    </row>
    <row r="58" spans="1:9" x14ac:dyDescent="0.3">
      <c r="A58" s="4" t="s">
        <v>90</v>
      </c>
      <c r="B58" s="4">
        <v>74.34</v>
      </c>
      <c r="C58" s="4">
        <v>4.3600000000000003</v>
      </c>
      <c r="E58">
        <f t="shared" si="0"/>
        <v>-1.4061344537815472</v>
      </c>
      <c r="F58">
        <f t="shared" si="3"/>
        <v>-0.46319327731092397</v>
      </c>
      <c r="H58">
        <f t="shared" si="1"/>
        <v>0.2145480121460345</v>
      </c>
      <c r="I58">
        <f t="shared" si="2"/>
        <v>0.65131202598688076</v>
      </c>
    </row>
    <row r="59" spans="1:9" x14ac:dyDescent="0.3">
      <c r="A59" s="4" t="s">
        <v>91</v>
      </c>
      <c r="B59" s="4">
        <v>70.73</v>
      </c>
      <c r="C59" s="4">
        <v>5.29</v>
      </c>
      <c r="E59">
        <f t="shared" si="0"/>
        <v>-5.0161344537815467</v>
      </c>
      <c r="F59">
        <f t="shared" si="3"/>
        <v>0.46680672268907575</v>
      </c>
      <c r="H59">
        <f t="shared" si="1"/>
        <v>0.21790851634771566</v>
      </c>
      <c r="I59">
        <f t="shared" si="2"/>
        <v>-2.3415652849375208</v>
      </c>
    </row>
    <row r="60" spans="1:9" x14ac:dyDescent="0.3">
      <c r="A60" s="4" t="s">
        <v>92</v>
      </c>
      <c r="B60" s="4">
        <v>71.95</v>
      </c>
      <c r="C60" s="4">
        <v>2.96</v>
      </c>
      <c r="E60">
        <f t="shared" si="0"/>
        <v>-3.7961344537815478</v>
      </c>
      <c r="F60">
        <f t="shared" si="3"/>
        <v>-1.8631932773109243</v>
      </c>
      <c r="H60">
        <f t="shared" si="1"/>
        <v>3.4714891886166228</v>
      </c>
      <c r="I60">
        <f t="shared" si="2"/>
        <v>7.0729321940541574</v>
      </c>
    </row>
    <row r="61" spans="1:9" x14ac:dyDescent="0.3">
      <c r="A61" s="4" t="s">
        <v>93</v>
      </c>
      <c r="B61" s="4">
        <v>68.650000000000006</v>
      </c>
      <c r="C61" s="4">
        <v>4.34</v>
      </c>
      <c r="E61">
        <f t="shared" si="0"/>
        <v>-7.0961344537815449</v>
      </c>
      <c r="F61">
        <f t="shared" si="3"/>
        <v>-0.48319327731092443</v>
      </c>
      <c r="H61">
        <f t="shared" si="1"/>
        <v>0.23347574323847192</v>
      </c>
      <c r="I61">
        <f t="shared" si="2"/>
        <v>3.4288044629616712</v>
      </c>
    </row>
    <row r="62" spans="1:9" x14ac:dyDescent="0.3">
      <c r="A62" s="4" t="s">
        <v>94</v>
      </c>
      <c r="B62" s="4">
        <v>71.7</v>
      </c>
      <c r="C62" s="4">
        <v>3.87</v>
      </c>
      <c r="E62">
        <f t="shared" si="0"/>
        <v>-4.0461344537815478</v>
      </c>
      <c r="F62">
        <f t="shared" si="3"/>
        <v>-0.95319327731092418</v>
      </c>
      <c r="H62">
        <f t="shared" si="1"/>
        <v>0.90857742391074037</v>
      </c>
      <c r="I62">
        <f t="shared" si="2"/>
        <v>3.8567481604406795</v>
      </c>
    </row>
    <row r="63" spans="1:9" x14ac:dyDescent="0.3">
      <c r="A63" s="4" t="s">
        <v>95</v>
      </c>
      <c r="B63" s="4">
        <v>70.180000000000007</v>
      </c>
      <c r="C63" s="4">
        <v>6.16</v>
      </c>
      <c r="E63">
        <f t="shared" si="0"/>
        <v>-5.5661344537815438</v>
      </c>
      <c r="F63">
        <f t="shared" si="3"/>
        <v>1.3368067226890759</v>
      </c>
      <c r="H63">
        <f t="shared" si="1"/>
        <v>1.7870522138267078</v>
      </c>
      <c r="I63">
        <f t="shared" si="2"/>
        <v>-7.4408459572064549</v>
      </c>
    </row>
    <row r="64" spans="1:9" x14ac:dyDescent="0.3">
      <c r="A64" s="4" t="s">
        <v>96</v>
      </c>
      <c r="B64" s="4">
        <v>82.15</v>
      </c>
      <c r="C64" s="4">
        <v>4.09</v>
      </c>
      <c r="E64">
        <f t="shared" si="0"/>
        <v>6.4038655462184551</v>
      </c>
      <c r="F64">
        <f t="shared" si="3"/>
        <v>-0.73319327731092443</v>
      </c>
      <c r="H64">
        <f t="shared" si="1"/>
        <v>0.53757238189393408</v>
      </c>
      <c r="I64">
        <f t="shared" si="2"/>
        <v>-4.6952711672904224</v>
      </c>
    </row>
    <row r="65" spans="1:9" x14ac:dyDescent="0.3">
      <c r="A65" s="4" t="s">
        <v>97</v>
      </c>
      <c r="B65" s="4">
        <v>84.41</v>
      </c>
      <c r="C65" s="4">
        <v>2.86</v>
      </c>
      <c r="E65">
        <f t="shared" si="0"/>
        <v>8.663865546218446</v>
      </c>
      <c r="F65">
        <f t="shared" si="3"/>
        <v>-1.9631932773109244</v>
      </c>
      <c r="H65">
        <f t="shared" si="1"/>
        <v>3.8541278440788083</v>
      </c>
      <c r="I65">
        <f t="shared" si="2"/>
        <v>-17.008842595861793</v>
      </c>
    </row>
    <row r="66" spans="1:9" x14ac:dyDescent="0.3">
      <c r="A66" s="4" t="s">
        <v>98</v>
      </c>
      <c r="B66" s="4">
        <v>85.72</v>
      </c>
      <c r="C66" s="4">
        <v>3.77</v>
      </c>
      <c r="E66">
        <f t="shared" si="0"/>
        <v>9.9738655462184482</v>
      </c>
      <c r="F66">
        <f t="shared" si="3"/>
        <v>-1.0531932773109243</v>
      </c>
      <c r="H66">
        <f t="shared" si="1"/>
        <v>1.1092160793729253</v>
      </c>
      <c r="I66">
        <f t="shared" si="2"/>
        <v>-10.504408142080319</v>
      </c>
    </row>
    <row r="67" spans="1:9" x14ac:dyDescent="0.3">
      <c r="A67" s="4" t="s">
        <v>99</v>
      </c>
      <c r="B67" s="4">
        <v>85.24</v>
      </c>
      <c r="C67" s="4">
        <v>2.4300000000000002</v>
      </c>
      <c r="E67">
        <f t="shared" ref="E67:E120" si="4">B67-$B$122</f>
        <v>9.4938655462184443</v>
      </c>
      <c r="F67">
        <f t="shared" si="3"/>
        <v>-2.3931932773109241</v>
      </c>
      <c r="H67">
        <f t="shared" ref="H67:H120" si="5">F67^2</f>
        <v>5.7273740625662022</v>
      </c>
      <c r="I67">
        <f t="shared" ref="I67:I120" si="6">F67*E67</f>
        <v>-22.720655200903785</v>
      </c>
    </row>
    <row r="68" spans="1:9" x14ac:dyDescent="0.3">
      <c r="A68" s="4" t="s">
        <v>100</v>
      </c>
      <c r="B68" s="4">
        <v>77.209999999999994</v>
      </c>
      <c r="C68" s="4">
        <v>0.79</v>
      </c>
      <c r="E68">
        <f t="shared" si="4"/>
        <v>1.4638655462184431</v>
      </c>
      <c r="F68">
        <f t="shared" ref="F68:F121" si="7">C68-$C$122</f>
        <v>-4.0331932773109243</v>
      </c>
      <c r="H68">
        <f t="shared" si="5"/>
        <v>16.266648012146035</v>
      </c>
      <c r="I68">
        <f t="shared" si="6"/>
        <v>-5.904052679895309</v>
      </c>
    </row>
    <row r="69" spans="1:9" x14ac:dyDescent="0.3">
      <c r="A69" s="4" t="s">
        <v>101</v>
      </c>
      <c r="B69" s="4">
        <v>77.5</v>
      </c>
      <c r="C69" s="4">
        <v>5.19</v>
      </c>
      <c r="E69">
        <f t="shared" si="4"/>
        <v>1.7538655462184494</v>
      </c>
      <c r="F69">
        <f t="shared" si="7"/>
        <v>0.3668067226890761</v>
      </c>
      <c r="H69">
        <f t="shared" si="5"/>
        <v>0.13454717180990078</v>
      </c>
      <c r="I69">
        <f t="shared" si="6"/>
        <v>0.64332967304567579</v>
      </c>
    </row>
    <row r="70" spans="1:9" x14ac:dyDescent="0.3">
      <c r="A70" s="4" t="s">
        <v>102</v>
      </c>
      <c r="B70" s="4">
        <v>76.180000000000007</v>
      </c>
      <c r="C70" s="4">
        <v>4.33</v>
      </c>
      <c r="E70">
        <f t="shared" si="4"/>
        <v>0.43386554621845619</v>
      </c>
      <c r="F70">
        <f t="shared" si="7"/>
        <v>-0.49319327731092422</v>
      </c>
      <c r="H70">
        <f t="shared" si="5"/>
        <v>0.2432396087846902</v>
      </c>
      <c r="I70">
        <f t="shared" si="6"/>
        <v>-0.21397957065177467</v>
      </c>
    </row>
    <row r="71" spans="1:9" x14ac:dyDescent="0.3">
      <c r="A71" s="4" t="s">
        <v>103</v>
      </c>
      <c r="B71" s="4">
        <v>82.05</v>
      </c>
      <c r="C71" s="4">
        <v>3.75</v>
      </c>
      <c r="E71">
        <f t="shared" si="4"/>
        <v>6.3038655462184465</v>
      </c>
      <c r="F71">
        <f t="shared" si="7"/>
        <v>-1.0731932773109243</v>
      </c>
      <c r="H71">
        <f t="shared" si="5"/>
        <v>1.1517438104653623</v>
      </c>
      <c r="I71">
        <f t="shared" si="6"/>
        <v>-6.7652661252735946</v>
      </c>
    </row>
    <row r="72" spans="1:9" x14ac:dyDescent="0.3">
      <c r="A72" s="4" t="s">
        <v>104</v>
      </c>
      <c r="B72" s="4">
        <v>72.14</v>
      </c>
      <c r="C72" s="4">
        <v>3.76</v>
      </c>
      <c r="E72">
        <f t="shared" si="4"/>
        <v>-3.6061344537815501</v>
      </c>
      <c r="F72">
        <f t="shared" si="7"/>
        <v>-1.0631932773109245</v>
      </c>
      <c r="H72">
        <f t="shared" si="5"/>
        <v>1.1303799449191445</v>
      </c>
      <c r="I72">
        <f t="shared" si="6"/>
        <v>3.8340179083398467</v>
      </c>
    </row>
    <row r="73" spans="1:9" x14ac:dyDescent="0.3">
      <c r="A73" s="4" t="s">
        <v>105</v>
      </c>
      <c r="B73" s="4">
        <v>85.71</v>
      </c>
      <c r="C73" s="4">
        <v>2.88</v>
      </c>
      <c r="E73">
        <f t="shared" si="4"/>
        <v>9.9638655462184431</v>
      </c>
      <c r="F73">
        <f t="shared" si="7"/>
        <v>-1.9431932773109244</v>
      </c>
      <c r="H73">
        <f t="shared" si="5"/>
        <v>3.7760001129863712</v>
      </c>
      <c r="I73">
        <f t="shared" si="6"/>
        <v>-19.36171654544162</v>
      </c>
    </row>
    <row r="74" spans="1:9" x14ac:dyDescent="0.3">
      <c r="A74" s="4" t="s">
        <v>106</v>
      </c>
      <c r="B74" s="4">
        <v>89.1</v>
      </c>
      <c r="C74" s="4">
        <v>3.51</v>
      </c>
      <c r="E74">
        <f t="shared" si="4"/>
        <v>13.353865546218444</v>
      </c>
      <c r="F74">
        <f t="shared" si="7"/>
        <v>-1.3131932773109245</v>
      </c>
      <c r="H74">
        <f t="shared" si="5"/>
        <v>1.7244765835746068</v>
      </c>
      <c r="I74">
        <f t="shared" si="6"/>
        <v>-17.536206461408035</v>
      </c>
    </row>
    <row r="75" spans="1:9" x14ac:dyDescent="0.3">
      <c r="A75" s="4" t="s">
        <v>107</v>
      </c>
      <c r="B75" s="4">
        <v>71.489999999999995</v>
      </c>
      <c r="C75" s="4">
        <v>7.14</v>
      </c>
      <c r="E75">
        <f t="shared" si="4"/>
        <v>-4.2561344537815557</v>
      </c>
      <c r="F75">
        <f t="shared" si="7"/>
        <v>2.3168067226890754</v>
      </c>
      <c r="H75">
        <f t="shared" si="5"/>
        <v>5.3675933902972943</v>
      </c>
      <c r="I75">
        <f t="shared" si="6"/>
        <v>-9.8606409151897036</v>
      </c>
    </row>
    <row r="76" spans="1:9" x14ac:dyDescent="0.3">
      <c r="A76" s="4" t="s">
        <v>108</v>
      </c>
      <c r="B76" s="4">
        <v>73.7</v>
      </c>
      <c r="C76" s="4">
        <v>7.49</v>
      </c>
      <c r="E76">
        <f t="shared" si="4"/>
        <v>-2.0461344537815478</v>
      </c>
      <c r="F76">
        <f t="shared" si="7"/>
        <v>2.6668067226890759</v>
      </c>
      <c r="H76">
        <f t="shared" si="5"/>
        <v>7.1118580961796498</v>
      </c>
      <c r="I76">
        <f t="shared" si="6"/>
        <v>-5.456645116870372</v>
      </c>
    </row>
    <row r="77" spans="1:9" x14ac:dyDescent="0.3">
      <c r="A77" s="4" t="s">
        <v>109</v>
      </c>
      <c r="B77" s="4">
        <v>72.47</v>
      </c>
      <c r="C77" s="4">
        <v>6.68</v>
      </c>
      <c r="E77">
        <f t="shared" si="4"/>
        <v>-3.2761344537815518</v>
      </c>
      <c r="F77">
        <f t="shared" si="7"/>
        <v>1.8568067226890754</v>
      </c>
      <c r="H77">
        <f t="shared" si="5"/>
        <v>3.4477312054233451</v>
      </c>
      <c r="I77">
        <f t="shared" si="6"/>
        <v>-6.0831484782148877</v>
      </c>
    </row>
    <row r="78" spans="1:9" x14ac:dyDescent="0.3">
      <c r="A78" s="4" t="s">
        <v>110</v>
      </c>
      <c r="B78" s="4">
        <v>75.13</v>
      </c>
      <c r="C78" s="4">
        <v>7.11</v>
      </c>
      <c r="E78">
        <f t="shared" si="4"/>
        <v>-0.61613445378155518</v>
      </c>
      <c r="F78">
        <f t="shared" si="7"/>
        <v>2.286806722689076</v>
      </c>
      <c r="H78">
        <f t="shared" si="5"/>
        <v>5.2294849869359528</v>
      </c>
      <c r="I78">
        <f t="shared" si="6"/>
        <v>-1.4089804109880222</v>
      </c>
    </row>
    <row r="79" spans="1:9" x14ac:dyDescent="0.3">
      <c r="A79" s="4" t="s">
        <v>111</v>
      </c>
      <c r="B79" s="4">
        <v>73.44</v>
      </c>
      <c r="C79" s="4">
        <v>6.62</v>
      </c>
      <c r="E79">
        <f t="shared" si="4"/>
        <v>-2.3061344537815529</v>
      </c>
      <c r="F79">
        <f t="shared" si="7"/>
        <v>1.7968067226890758</v>
      </c>
      <c r="H79">
        <f t="shared" si="5"/>
        <v>3.2285143987006575</v>
      </c>
      <c r="I79">
        <f t="shared" si="6"/>
        <v>-4.1436778899795943</v>
      </c>
    </row>
    <row r="80" spans="1:9" x14ac:dyDescent="0.3">
      <c r="A80" s="4" t="s">
        <v>112</v>
      </c>
      <c r="B80" s="4">
        <v>75.180000000000007</v>
      </c>
      <c r="C80" s="4">
        <v>7.85</v>
      </c>
      <c r="E80">
        <f t="shared" si="4"/>
        <v>-0.56613445378154381</v>
      </c>
      <c r="F80">
        <f t="shared" si="7"/>
        <v>3.0268067226890754</v>
      </c>
      <c r="H80">
        <f t="shared" si="5"/>
        <v>9.1615589365157817</v>
      </c>
      <c r="I80">
        <f t="shared" si="6"/>
        <v>-1.7135795706518844</v>
      </c>
    </row>
    <row r="81" spans="1:9" x14ac:dyDescent="0.3">
      <c r="A81" s="4" t="s">
        <v>113</v>
      </c>
      <c r="B81" s="4">
        <v>73.53</v>
      </c>
      <c r="C81" s="4">
        <v>4.68</v>
      </c>
      <c r="E81">
        <f t="shared" si="4"/>
        <v>-2.2161344537815495</v>
      </c>
      <c r="F81">
        <f t="shared" si="7"/>
        <v>-0.14319327731092457</v>
      </c>
      <c r="H81">
        <f t="shared" si="5"/>
        <v>2.0504314667043347E-2</v>
      </c>
      <c r="I81">
        <f t="shared" si="6"/>
        <v>0.31733555539863578</v>
      </c>
    </row>
    <row r="82" spans="1:9" x14ac:dyDescent="0.3">
      <c r="A82" s="4" t="s">
        <v>114</v>
      </c>
      <c r="B82" s="4">
        <v>70.31</v>
      </c>
      <c r="C82" s="4">
        <v>7.66</v>
      </c>
      <c r="E82">
        <f t="shared" si="4"/>
        <v>-5.4361344537815484</v>
      </c>
      <c r="F82">
        <f t="shared" si="7"/>
        <v>2.8368067226890759</v>
      </c>
      <c r="H82">
        <f t="shared" si="5"/>
        <v>8.047472381893936</v>
      </c>
      <c r="I82">
        <f t="shared" si="6"/>
        <v>-15.421262763929203</v>
      </c>
    </row>
    <row r="83" spans="1:9" x14ac:dyDescent="0.3">
      <c r="A83" s="4" t="s">
        <v>115</v>
      </c>
      <c r="B83" s="4">
        <v>70.930000000000007</v>
      </c>
      <c r="C83" s="4">
        <v>5.59</v>
      </c>
      <c r="E83">
        <f t="shared" si="4"/>
        <v>-4.8161344537815438</v>
      </c>
      <c r="F83">
        <f t="shared" si="7"/>
        <v>0.76680672268907557</v>
      </c>
      <c r="H83">
        <f t="shared" si="5"/>
        <v>0.58799254996116079</v>
      </c>
      <c r="I83">
        <f t="shared" si="6"/>
        <v>-3.6930442765341667</v>
      </c>
    </row>
    <row r="84" spans="1:9" x14ac:dyDescent="0.3">
      <c r="A84" s="4" t="s">
        <v>116</v>
      </c>
      <c r="B84" s="4">
        <v>74.3</v>
      </c>
      <c r="C84" s="4">
        <v>7.05</v>
      </c>
      <c r="E84">
        <f t="shared" si="4"/>
        <v>-1.4461344537815535</v>
      </c>
      <c r="F84">
        <f t="shared" si="7"/>
        <v>2.2268067226890755</v>
      </c>
      <c r="H84">
        <f t="shared" si="5"/>
        <v>4.9586681802132615</v>
      </c>
      <c r="I84">
        <f t="shared" si="6"/>
        <v>-3.2202619235930574</v>
      </c>
    </row>
    <row r="85" spans="1:9" x14ac:dyDescent="0.3">
      <c r="A85" s="4" t="s">
        <v>117</v>
      </c>
      <c r="B85" s="4">
        <v>71.22</v>
      </c>
      <c r="C85" s="4">
        <v>4.4800000000000004</v>
      </c>
      <c r="E85">
        <f t="shared" si="4"/>
        <v>-4.5261344537815518</v>
      </c>
      <c r="F85">
        <f t="shared" si="7"/>
        <v>-0.34319327731092386</v>
      </c>
      <c r="H85">
        <f t="shared" si="5"/>
        <v>0.11778162559141268</v>
      </c>
      <c r="I85">
        <f t="shared" si="6"/>
        <v>1.553338916743179</v>
      </c>
    </row>
    <row r="86" spans="1:9" x14ac:dyDescent="0.3">
      <c r="A86" s="4" t="s">
        <v>118</v>
      </c>
      <c r="B86" s="4">
        <v>71.22</v>
      </c>
      <c r="C86" s="4">
        <v>6.7</v>
      </c>
      <c r="E86">
        <f t="shared" si="4"/>
        <v>-4.5261344537815518</v>
      </c>
      <c r="F86">
        <f t="shared" si="7"/>
        <v>1.8768067226890759</v>
      </c>
      <c r="H86">
        <f t="shared" si="5"/>
        <v>3.5224034743309098</v>
      </c>
      <c r="I86">
        <f t="shared" si="6"/>
        <v>-8.494679570651865</v>
      </c>
    </row>
    <row r="87" spans="1:9" x14ac:dyDescent="0.3">
      <c r="A87" s="4" t="s">
        <v>119</v>
      </c>
      <c r="B87" s="4">
        <v>70.849999999999994</v>
      </c>
      <c r="C87" s="4">
        <v>7.16</v>
      </c>
      <c r="E87">
        <f t="shared" si="4"/>
        <v>-4.8961344537815563</v>
      </c>
      <c r="F87">
        <f t="shared" si="7"/>
        <v>2.3368067226890759</v>
      </c>
      <c r="H87">
        <f t="shared" si="5"/>
        <v>5.4606656592048592</v>
      </c>
      <c r="I87">
        <f t="shared" si="6"/>
        <v>-11.441319906786347</v>
      </c>
    </row>
    <row r="88" spans="1:9" x14ac:dyDescent="0.3">
      <c r="A88" s="4" t="s">
        <v>120</v>
      </c>
      <c r="B88" s="4">
        <v>72.36</v>
      </c>
      <c r="C88" s="4">
        <v>5.47</v>
      </c>
      <c r="E88">
        <f t="shared" si="4"/>
        <v>-3.3861344537815512</v>
      </c>
      <c r="F88">
        <f t="shared" si="7"/>
        <v>0.64680672268907546</v>
      </c>
      <c r="H88">
        <f t="shared" si="5"/>
        <v>0.41835893651578254</v>
      </c>
      <c r="I88">
        <f t="shared" si="6"/>
        <v>-2.1901745286350076</v>
      </c>
    </row>
    <row r="89" spans="1:9" x14ac:dyDescent="0.3">
      <c r="A89" s="4" t="s">
        <v>121</v>
      </c>
      <c r="B89" s="4">
        <v>82.67</v>
      </c>
      <c r="C89" s="4">
        <v>5.18</v>
      </c>
      <c r="E89">
        <f t="shared" si="4"/>
        <v>6.9238655462184511</v>
      </c>
      <c r="F89">
        <f t="shared" si="7"/>
        <v>0.35680672268907543</v>
      </c>
      <c r="H89">
        <f t="shared" si="5"/>
        <v>0.12731103735611876</v>
      </c>
      <c r="I89">
        <f t="shared" si="6"/>
        <v>2.4704817738860108</v>
      </c>
    </row>
    <row r="90" spans="1:9" x14ac:dyDescent="0.3">
      <c r="A90" s="4" t="s">
        <v>122</v>
      </c>
      <c r="B90" s="4">
        <v>76.69</v>
      </c>
      <c r="C90" s="4">
        <v>5.89</v>
      </c>
      <c r="E90">
        <f t="shared" si="4"/>
        <v>0.94386554621844709</v>
      </c>
      <c r="F90">
        <f t="shared" si="7"/>
        <v>1.0668067226890754</v>
      </c>
      <c r="H90">
        <f t="shared" si="5"/>
        <v>1.1380765835746058</v>
      </c>
      <c r="I90">
        <f t="shared" si="6"/>
        <v>1.0069221100204355</v>
      </c>
    </row>
    <row r="91" spans="1:9" x14ac:dyDescent="0.3">
      <c r="A91" s="4" t="s">
        <v>123</v>
      </c>
      <c r="B91" s="4">
        <v>75.67</v>
      </c>
      <c r="C91" s="4">
        <v>6.65</v>
      </c>
      <c r="E91">
        <f t="shared" si="4"/>
        <v>-7.6134453781548928E-2</v>
      </c>
      <c r="F91">
        <f t="shared" si="7"/>
        <v>1.8268067226890761</v>
      </c>
      <c r="H91">
        <f t="shared" si="5"/>
        <v>3.3372228020620027</v>
      </c>
      <c r="I91">
        <f t="shared" si="6"/>
        <v>-0.13908293199639432</v>
      </c>
    </row>
    <row r="92" spans="1:9" x14ac:dyDescent="0.3">
      <c r="A92" s="4" t="s">
        <v>124</v>
      </c>
      <c r="B92" s="4">
        <v>75.239999999999995</v>
      </c>
      <c r="C92" s="4">
        <v>6.67</v>
      </c>
      <c r="E92">
        <f t="shared" si="4"/>
        <v>-0.50613445378155575</v>
      </c>
      <c r="F92">
        <f t="shared" si="7"/>
        <v>1.8468067226890756</v>
      </c>
      <c r="H92">
        <f t="shared" si="5"/>
        <v>3.4106950709695645</v>
      </c>
      <c r="I92">
        <f t="shared" si="6"/>
        <v>-0.93473251182834038</v>
      </c>
    </row>
    <row r="93" spans="1:9" x14ac:dyDescent="0.3">
      <c r="A93" s="4" t="s">
        <v>125</v>
      </c>
      <c r="B93" s="4">
        <v>74.81</v>
      </c>
      <c r="C93" s="4">
        <v>5.01</v>
      </c>
      <c r="E93">
        <f t="shared" si="4"/>
        <v>-0.93613445378154836</v>
      </c>
      <c r="F93">
        <f t="shared" si="7"/>
        <v>0.1868067226890755</v>
      </c>
      <c r="H93">
        <f t="shared" si="5"/>
        <v>3.4896751641833153E-2</v>
      </c>
      <c r="I93">
        <f t="shared" si="6"/>
        <v>-0.17487620930725886</v>
      </c>
    </row>
    <row r="94" spans="1:9" x14ac:dyDescent="0.3">
      <c r="A94" s="4" t="s">
        <v>126</v>
      </c>
      <c r="B94" s="4">
        <v>76.77</v>
      </c>
      <c r="C94" s="4">
        <v>4.5</v>
      </c>
      <c r="E94">
        <f t="shared" si="4"/>
        <v>1.0238655462184454</v>
      </c>
      <c r="F94">
        <f t="shared" si="7"/>
        <v>-0.32319327731092429</v>
      </c>
      <c r="H94">
        <f t="shared" si="5"/>
        <v>0.104453894498976</v>
      </c>
      <c r="I94">
        <f t="shared" si="6"/>
        <v>-0.330906461408079</v>
      </c>
    </row>
    <row r="95" spans="1:9" x14ac:dyDescent="0.3">
      <c r="A95" s="4" t="s">
        <v>127</v>
      </c>
      <c r="B95" s="4">
        <v>73.91</v>
      </c>
      <c r="C95" s="4">
        <v>6.09</v>
      </c>
      <c r="E95">
        <f t="shared" si="4"/>
        <v>-1.836134453781554</v>
      </c>
      <c r="F95">
        <f t="shared" si="7"/>
        <v>1.2668067226890756</v>
      </c>
      <c r="H95">
        <f t="shared" si="5"/>
        <v>1.6047992726502365</v>
      </c>
      <c r="I95">
        <f t="shared" si="6"/>
        <v>-2.3260274698115064</v>
      </c>
    </row>
    <row r="96" spans="1:9" x14ac:dyDescent="0.3">
      <c r="A96" s="4" t="s">
        <v>128</v>
      </c>
      <c r="B96" s="4">
        <v>72.75</v>
      </c>
      <c r="C96" s="4">
        <v>8.7200000000000006</v>
      </c>
      <c r="E96">
        <f t="shared" si="4"/>
        <v>-2.9961344537815506</v>
      </c>
      <c r="F96">
        <f t="shared" si="7"/>
        <v>3.8968067226890764</v>
      </c>
      <c r="H96">
        <f t="shared" si="5"/>
        <v>15.185102633994781</v>
      </c>
      <c r="I96">
        <f t="shared" si="6"/>
        <v>-11.67535688157631</v>
      </c>
    </row>
    <row r="97" spans="1:9" x14ac:dyDescent="0.3">
      <c r="A97" s="4" t="s">
        <v>129</v>
      </c>
      <c r="B97" s="4">
        <v>72.31</v>
      </c>
      <c r="C97" s="4">
        <v>1.83</v>
      </c>
      <c r="E97">
        <f t="shared" si="4"/>
        <v>-3.4361344537815484</v>
      </c>
      <c r="F97">
        <f t="shared" si="7"/>
        <v>-2.9931932773109242</v>
      </c>
      <c r="H97">
        <f t="shared" si="5"/>
        <v>8.9592059953393104</v>
      </c>
      <c r="I97">
        <f t="shared" si="6"/>
        <v>10.285014546995376</v>
      </c>
    </row>
    <row r="98" spans="1:9" x14ac:dyDescent="0.3">
      <c r="A98" s="4" t="s">
        <v>130</v>
      </c>
      <c r="B98" s="4">
        <v>75.900000000000006</v>
      </c>
      <c r="C98" s="4">
        <v>7.66</v>
      </c>
      <c r="E98">
        <f t="shared" si="4"/>
        <v>0.15386554621845505</v>
      </c>
      <c r="F98">
        <f t="shared" si="7"/>
        <v>2.8368067226890759</v>
      </c>
      <c r="H98">
        <f t="shared" si="5"/>
        <v>8.047472381893936</v>
      </c>
      <c r="I98">
        <f t="shared" si="6"/>
        <v>0.43648681590274002</v>
      </c>
    </row>
    <row r="99" spans="1:9" x14ac:dyDescent="0.3">
      <c r="A99" s="4" t="s">
        <v>131</v>
      </c>
      <c r="B99" s="4">
        <v>78.930000000000007</v>
      </c>
      <c r="C99" s="4">
        <v>6.32</v>
      </c>
      <c r="E99">
        <f t="shared" si="4"/>
        <v>3.1838655462184562</v>
      </c>
      <c r="F99">
        <f t="shared" si="7"/>
        <v>1.496806722689076</v>
      </c>
      <c r="H99">
        <f t="shared" si="5"/>
        <v>2.2404303650872124</v>
      </c>
      <c r="I99">
        <f t="shared" si="6"/>
        <v>4.7656313537179118</v>
      </c>
    </row>
    <row r="100" spans="1:9" x14ac:dyDescent="0.3">
      <c r="A100" s="4" t="s">
        <v>132</v>
      </c>
      <c r="B100" s="4">
        <v>67.33</v>
      </c>
      <c r="C100" s="4">
        <v>9.15</v>
      </c>
      <c r="E100">
        <f t="shared" si="4"/>
        <v>-8.4161344537815523</v>
      </c>
      <c r="F100">
        <f t="shared" si="7"/>
        <v>4.3268067226890761</v>
      </c>
      <c r="H100">
        <f t="shared" si="5"/>
        <v>18.721256415507384</v>
      </c>
      <c r="I100">
        <f t="shared" si="6"/>
        <v>-36.414987133677172</v>
      </c>
    </row>
    <row r="101" spans="1:9" x14ac:dyDescent="0.3">
      <c r="A101" s="4" t="s">
        <v>133</v>
      </c>
      <c r="B101" s="4">
        <v>66.72</v>
      </c>
      <c r="C101" s="4">
        <v>7.54</v>
      </c>
      <c r="E101">
        <f t="shared" si="4"/>
        <v>-9.0261344537815518</v>
      </c>
      <c r="F101">
        <f t="shared" si="7"/>
        <v>2.7168067226890757</v>
      </c>
      <c r="H101">
        <f t="shared" si="5"/>
        <v>7.3810387684485566</v>
      </c>
      <c r="I101">
        <f t="shared" si="6"/>
        <v>-24.522262763929209</v>
      </c>
    </row>
    <row r="102" spans="1:9" x14ac:dyDescent="0.3">
      <c r="A102" s="4" t="s">
        <v>134</v>
      </c>
      <c r="B102" s="4">
        <v>70.849999999999994</v>
      </c>
      <c r="C102" s="4">
        <v>6.32</v>
      </c>
      <c r="E102">
        <f t="shared" si="4"/>
        <v>-4.8961344537815563</v>
      </c>
      <c r="F102">
        <f t="shared" si="7"/>
        <v>1.496806722689076</v>
      </c>
      <c r="H102">
        <f t="shared" si="5"/>
        <v>2.2404303650872124</v>
      </c>
      <c r="I102">
        <f t="shared" si="6"/>
        <v>-7.3285669656098404</v>
      </c>
    </row>
    <row r="103" spans="1:9" x14ac:dyDescent="0.3">
      <c r="A103" s="4" t="s">
        <v>135</v>
      </c>
      <c r="B103" s="4">
        <v>69.78</v>
      </c>
      <c r="C103" s="4">
        <v>8.26</v>
      </c>
      <c r="E103">
        <f t="shared" si="4"/>
        <v>-5.9661344537815495</v>
      </c>
      <c r="F103">
        <f t="shared" si="7"/>
        <v>3.4368067226890755</v>
      </c>
      <c r="H103">
        <f t="shared" si="5"/>
        <v>11.811640449120825</v>
      </c>
      <c r="I103">
        <f t="shared" si="6"/>
        <v>-20.504450999223344</v>
      </c>
    </row>
    <row r="104" spans="1:9" x14ac:dyDescent="0.3">
      <c r="A104" s="4" t="s">
        <v>136</v>
      </c>
      <c r="B104" s="4">
        <v>81.88</v>
      </c>
      <c r="C104" s="4">
        <v>2.94</v>
      </c>
      <c r="E104">
        <f t="shared" si="4"/>
        <v>6.1338655462184448</v>
      </c>
      <c r="F104">
        <f t="shared" si="7"/>
        <v>-1.8831932773109243</v>
      </c>
      <c r="H104">
        <f t="shared" si="5"/>
        <v>3.5464169197090598</v>
      </c>
      <c r="I104">
        <f t="shared" si="6"/>
        <v>-11.551254360567675</v>
      </c>
    </row>
    <row r="105" spans="1:9" x14ac:dyDescent="0.3">
      <c r="A105" s="4" t="s">
        <v>137</v>
      </c>
      <c r="B105" s="4">
        <v>81.44</v>
      </c>
      <c r="C105" s="4">
        <v>5.1100000000000003</v>
      </c>
      <c r="E105">
        <f t="shared" si="4"/>
        <v>5.6938655462184471</v>
      </c>
      <c r="F105">
        <f t="shared" si="7"/>
        <v>0.28680672268907603</v>
      </c>
      <c r="H105">
        <f t="shared" si="5"/>
        <v>8.2258096179648563E-2</v>
      </c>
      <c r="I105">
        <f t="shared" si="6"/>
        <v>1.6330389167431585</v>
      </c>
    </row>
    <row r="106" spans="1:9" x14ac:dyDescent="0.3">
      <c r="A106" s="4" t="s">
        <v>138</v>
      </c>
      <c r="B106" s="4">
        <v>84.68</v>
      </c>
      <c r="C106" s="4">
        <v>5.13</v>
      </c>
      <c r="E106">
        <f t="shared" si="4"/>
        <v>8.9338655462184562</v>
      </c>
      <c r="F106">
        <f t="shared" si="7"/>
        <v>0.30680672268907561</v>
      </c>
      <c r="H106">
        <f t="shared" si="5"/>
        <v>9.4130365087211343E-2</v>
      </c>
      <c r="I106">
        <f t="shared" si="6"/>
        <v>2.740970009180133</v>
      </c>
    </row>
    <row r="107" spans="1:9" x14ac:dyDescent="0.3">
      <c r="A107" s="4" t="s">
        <v>139</v>
      </c>
      <c r="B107" s="4">
        <v>77.790000000000006</v>
      </c>
      <c r="C107" s="4">
        <v>3.92</v>
      </c>
      <c r="E107">
        <f t="shared" si="4"/>
        <v>2.0438655462184556</v>
      </c>
      <c r="F107">
        <f t="shared" si="7"/>
        <v>-0.90319327731092436</v>
      </c>
      <c r="H107">
        <f t="shared" si="5"/>
        <v>0.81575809617964834</v>
      </c>
      <c r="I107">
        <f t="shared" si="6"/>
        <v>-1.8460056210719296</v>
      </c>
    </row>
    <row r="108" spans="1:9" x14ac:dyDescent="0.3">
      <c r="A108" s="4" t="s">
        <v>140</v>
      </c>
      <c r="B108" s="4">
        <v>78.900000000000006</v>
      </c>
      <c r="C108" s="4">
        <v>3.52</v>
      </c>
      <c r="E108">
        <f t="shared" si="4"/>
        <v>3.1538655462184551</v>
      </c>
      <c r="F108">
        <f t="shared" si="7"/>
        <v>-1.3031932773109243</v>
      </c>
      <c r="H108">
        <f t="shared" si="5"/>
        <v>1.6983127180283875</v>
      </c>
      <c r="I108">
        <f t="shared" si="6"/>
        <v>-4.110096377374437</v>
      </c>
    </row>
    <row r="109" spans="1:9" x14ac:dyDescent="0.3">
      <c r="A109" s="4" t="s">
        <v>141</v>
      </c>
      <c r="B109" s="4">
        <v>81.760000000000005</v>
      </c>
      <c r="C109" s="4">
        <v>3.44</v>
      </c>
      <c r="E109">
        <f t="shared" si="4"/>
        <v>6.0138655462184545</v>
      </c>
      <c r="F109">
        <f t="shared" si="7"/>
        <v>-1.3831932773109243</v>
      </c>
      <c r="H109">
        <f t="shared" si="5"/>
        <v>1.9132236423981357</v>
      </c>
      <c r="I109">
        <f t="shared" si="6"/>
        <v>-8.3183383941811559</v>
      </c>
    </row>
    <row r="110" spans="1:9" x14ac:dyDescent="0.3">
      <c r="A110" s="4" t="s">
        <v>142</v>
      </c>
      <c r="B110" s="4">
        <v>84.51</v>
      </c>
      <c r="C110" s="4">
        <v>6.36</v>
      </c>
      <c r="E110">
        <f t="shared" si="4"/>
        <v>8.7638655462184545</v>
      </c>
      <c r="F110">
        <f t="shared" si="7"/>
        <v>1.536806722689076</v>
      </c>
      <c r="H110">
        <f t="shared" si="5"/>
        <v>2.3617749029023387</v>
      </c>
      <c r="I110">
        <f t="shared" si="6"/>
        <v>13.468367488171692</v>
      </c>
    </row>
    <row r="111" spans="1:9" x14ac:dyDescent="0.3">
      <c r="A111" s="4" t="s">
        <v>143</v>
      </c>
      <c r="B111" s="4">
        <v>84.69</v>
      </c>
      <c r="C111" s="4">
        <v>5.48</v>
      </c>
      <c r="E111">
        <f t="shared" si="4"/>
        <v>8.9438655462184471</v>
      </c>
      <c r="F111">
        <f t="shared" si="7"/>
        <v>0.65680672268907614</v>
      </c>
      <c r="H111">
        <f t="shared" si="5"/>
        <v>0.43139507096956498</v>
      </c>
      <c r="I111">
        <f t="shared" si="6"/>
        <v>5.8743910175834824</v>
      </c>
    </row>
    <row r="112" spans="1:9" x14ac:dyDescent="0.3">
      <c r="A112" s="4" t="s">
        <v>144</v>
      </c>
      <c r="B112" s="4">
        <v>79.69</v>
      </c>
      <c r="C112" s="4">
        <v>8.6</v>
      </c>
      <c r="E112">
        <f t="shared" si="4"/>
        <v>3.9438655462184471</v>
      </c>
      <c r="F112">
        <f t="shared" si="7"/>
        <v>3.7768067226890754</v>
      </c>
      <c r="H112">
        <f t="shared" si="5"/>
        <v>14.264269020549394</v>
      </c>
      <c r="I112">
        <f t="shared" si="6"/>
        <v>14.895217908339653</v>
      </c>
    </row>
    <row r="113" spans="1:9" x14ac:dyDescent="0.3">
      <c r="A113" s="4" t="s">
        <v>145</v>
      </c>
      <c r="B113" s="4">
        <v>70.88</v>
      </c>
      <c r="C113" s="4">
        <v>6.67</v>
      </c>
      <c r="E113">
        <f t="shared" si="4"/>
        <v>-4.8661344537815552</v>
      </c>
      <c r="F113">
        <f t="shared" si="7"/>
        <v>1.8468067226890756</v>
      </c>
      <c r="H113">
        <f t="shared" si="5"/>
        <v>3.4106950709695645</v>
      </c>
      <c r="I113">
        <f t="shared" si="6"/>
        <v>-8.9868098227527096</v>
      </c>
    </row>
    <row r="114" spans="1:9" x14ac:dyDescent="0.3">
      <c r="A114" s="4" t="s">
        <v>146</v>
      </c>
      <c r="B114" s="4">
        <v>68.33</v>
      </c>
      <c r="C114" s="4">
        <v>5.81</v>
      </c>
      <c r="E114">
        <f t="shared" si="4"/>
        <v>-7.4161344537815523</v>
      </c>
      <c r="F114">
        <f t="shared" si="7"/>
        <v>0.98680672268907532</v>
      </c>
      <c r="H114">
        <f t="shared" si="5"/>
        <v>0.97378750794435365</v>
      </c>
      <c r="I114">
        <f t="shared" si="6"/>
        <v>-7.318291335357709</v>
      </c>
    </row>
    <row r="115" spans="1:9" x14ac:dyDescent="0.3">
      <c r="A115" s="4" t="s">
        <v>147</v>
      </c>
      <c r="B115" s="4">
        <v>76.19</v>
      </c>
      <c r="C115" s="4">
        <v>4.6100000000000003</v>
      </c>
      <c r="E115">
        <f t="shared" si="4"/>
        <v>0.44386554621844709</v>
      </c>
      <c r="F115">
        <f t="shared" si="7"/>
        <v>-0.21319327731092397</v>
      </c>
      <c r="H115">
        <f t="shared" si="5"/>
        <v>4.545137349057253E-2</v>
      </c>
      <c r="I115">
        <f t="shared" si="6"/>
        <v>-9.4629150483714133E-2</v>
      </c>
    </row>
    <row r="116" spans="1:9" x14ac:dyDescent="0.3">
      <c r="A116" s="4" t="s">
        <v>148</v>
      </c>
      <c r="B116" s="4">
        <v>73.28</v>
      </c>
      <c r="C116" s="4">
        <v>5.65</v>
      </c>
      <c r="E116">
        <f t="shared" si="4"/>
        <v>-2.4661344537815495</v>
      </c>
      <c r="F116">
        <f t="shared" si="7"/>
        <v>0.82680672268907607</v>
      </c>
      <c r="H116">
        <f t="shared" si="5"/>
        <v>0.6836093566838507</v>
      </c>
      <c r="I116">
        <f t="shared" si="6"/>
        <v>-2.0390165454417377</v>
      </c>
    </row>
    <row r="117" spans="1:9" x14ac:dyDescent="0.3">
      <c r="A117" s="4" t="s">
        <v>149</v>
      </c>
      <c r="B117" s="4">
        <v>81.53</v>
      </c>
      <c r="C117" s="4">
        <v>4.03</v>
      </c>
      <c r="E117">
        <f t="shared" si="4"/>
        <v>5.7838655462184505</v>
      </c>
      <c r="F117">
        <f t="shared" si="7"/>
        <v>-0.79319327731092404</v>
      </c>
      <c r="H117">
        <f t="shared" si="5"/>
        <v>0.62915557517124443</v>
      </c>
      <c r="I117">
        <f t="shared" si="6"/>
        <v>-4.5877232681307509</v>
      </c>
    </row>
    <row r="118" spans="1:9" x14ac:dyDescent="0.3">
      <c r="A118" s="4" t="s">
        <v>150</v>
      </c>
      <c r="B118" s="4">
        <v>78.83</v>
      </c>
      <c r="C118" s="4">
        <v>5.05</v>
      </c>
      <c r="E118">
        <f t="shared" si="4"/>
        <v>3.0838655462184477</v>
      </c>
      <c r="F118">
        <f t="shared" si="7"/>
        <v>0.22680672268907554</v>
      </c>
      <c r="H118">
        <f t="shared" si="5"/>
        <v>5.1441289456959208E-2</v>
      </c>
      <c r="I118">
        <f t="shared" si="6"/>
        <v>0.69944143775156187</v>
      </c>
    </row>
    <row r="119" spans="1:9" x14ac:dyDescent="0.3">
      <c r="A119" s="4" t="s">
        <v>151</v>
      </c>
      <c r="B119" s="4">
        <v>76.900000000000006</v>
      </c>
      <c r="C119" s="4">
        <v>6.45</v>
      </c>
      <c r="E119">
        <f t="shared" si="4"/>
        <v>1.1538655462184551</v>
      </c>
      <c r="F119">
        <f t="shared" si="7"/>
        <v>1.6268067226890759</v>
      </c>
      <c r="H119">
        <f t="shared" si="5"/>
        <v>2.6465001129863719</v>
      </c>
      <c r="I119">
        <f t="shared" si="6"/>
        <v>1.8771162276674853</v>
      </c>
    </row>
    <row r="120" spans="1:9" x14ac:dyDescent="0.3">
      <c r="A120" s="4" t="s">
        <v>152</v>
      </c>
      <c r="B120" s="4">
        <v>84.16</v>
      </c>
      <c r="C120" s="4">
        <v>7.96</v>
      </c>
      <c r="E120">
        <f t="shared" si="4"/>
        <v>8.413865546218446</v>
      </c>
      <c r="F120">
        <f t="shared" si="7"/>
        <v>3.1368067226890757</v>
      </c>
      <c r="H120">
        <f t="shared" si="5"/>
        <v>9.8395564155073796</v>
      </c>
      <c r="I120">
        <f t="shared" si="6"/>
        <v>26.392670009180012</v>
      </c>
    </row>
    <row r="122" spans="1:9" x14ac:dyDescent="0.3">
      <c r="A122" s="8" t="s">
        <v>153</v>
      </c>
      <c r="B122">
        <f>AVERAGE(B2:B120)</f>
        <v>75.746134453781551</v>
      </c>
      <c r="C122">
        <f>AVERAGE(C2:C120)</f>
        <v>4.8231932773109243</v>
      </c>
      <c r="G122" t="s">
        <v>154</v>
      </c>
      <c r="H122">
        <f>SUM(H2:H120)</f>
        <v>557.28978655462197</v>
      </c>
      <c r="I122">
        <f>SUM(I2:I120)</f>
        <v>-458.19193109243662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keira zuleyqa</dc:creator>
  <cp:lastModifiedBy>keira zuleyqa</cp:lastModifiedBy>
  <dcterms:created xsi:type="dcterms:W3CDTF">2026-02-03T07:33:49Z</dcterms:created>
  <dcterms:modified xsi:type="dcterms:W3CDTF">2026-02-03T07:34:07Z</dcterms:modified>
</cp:coreProperties>
</file>